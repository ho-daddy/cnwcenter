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2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3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drawings/drawing4.xml" ContentType="application/vnd.openxmlformats-officedocument.drawing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drawings/drawing5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local\cnwcenter\extra_files\"/>
    </mc:Choice>
  </mc:AlternateContent>
  <xr:revisionPtr revIDLastSave="0" documentId="13_ncr:1_{7518BB7B-769C-4517-8142-D9189D4B206E}" xr6:coauthVersionLast="47" xr6:coauthVersionMax="47" xr10:uidLastSave="{00000000-0000-0000-0000-000000000000}"/>
  <bookViews>
    <workbookView xWindow="-120" yWindow="-120" windowWidth="29040" windowHeight="17520" tabRatio="844" activeTab="5" xr2:uid="{AA9DE11D-4BAE-4217-8703-AD2D64661ECB}"/>
  </bookViews>
  <sheets>
    <sheet name="문서번호1" sheetId="1" r:id="rId1"/>
    <sheet name="문서번호2(1)" sheetId="2" r:id="rId2"/>
    <sheet name="문서번호3(1)" sheetId="8" r:id="rId3"/>
    <sheet name="문서번호2(2)" sheetId="19" r:id="rId4"/>
    <sheet name="문서번호3(2)" sheetId="20" r:id="rId5"/>
    <sheet name="문서번호3" sheetId="4" r:id="rId6"/>
    <sheet name="RULA_A" sheetId="10" state="hidden" r:id="rId7"/>
    <sheet name="RULA_B" sheetId="11" state="hidden" r:id="rId8"/>
    <sheet name="C+D" sheetId="12" state="hidden" r:id="rId9"/>
    <sheet name="REBA_A" sheetId="14" state="hidden" r:id="rId10"/>
    <sheet name="REBA_B" sheetId="15" state="hidden" r:id="rId11"/>
    <sheet name="A+B" sheetId="16" state="hidden" r:id="rId12"/>
  </sheets>
  <definedNames>
    <definedName name="_xlnm.Print_Area" localSheetId="0">문서번호1!$A$1:$AD$26</definedName>
    <definedName name="_xlnm.Print_Area" localSheetId="1">'문서번호2(1)'!$A$1:$W$66</definedName>
    <definedName name="_xlnm.Print_Area" localSheetId="3">'문서번호2(2)'!$A$1:$W$66</definedName>
    <definedName name="_xlnm.Print_Area" localSheetId="5">문서번호3!$A$1:$M$28</definedName>
    <definedName name="_xlnm.Print_Area" localSheetId="2">'문서번호3(1)'!$A$1:$M$25</definedName>
    <definedName name="_xlnm.Print_Area" localSheetId="4">'문서번호3(2)'!$A$1:$M$25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4" l="1"/>
  <c r="M17" i="4"/>
  <c r="I17" i="4"/>
  <c r="E17" i="4"/>
  <c r="G16" i="4"/>
  <c r="M10" i="4"/>
  <c r="G10" i="4"/>
  <c r="M11" i="4"/>
  <c r="I11" i="4"/>
  <c r="E11" i="4"/>
  <c r="A12" i="4"/>
  <c r="A6" i="4"/>
  <c r="G14" i="20" l="1"/>
  <c r="G14" i="8"/>
  <c r="L14" i="8" s="1"/>
  <c r="H4" i="20"/>
  <c r="T4" i="19"/>
  <c r="K17" i="4"/>
  <c r="G17" i="4"/>
  <c r="C17" i="4"/>
  <c r="L13" i="4"/>
  <c r="J13" i="4"/>
  <c r="H13" i="4"/>
  <c r="F13" i="4"/>
  <c r="D13" i="4"/>
  <c r="B13" i="4"/>
  <c r="K19" i="20"/>
  <c r="G19" i="20"/>
  <c r="C19" i="20"/>
  <c r="I17" i="20"/>
  <c r="H17" i="20"/>
  <c r="K14" i="20"/>
  <c r="J14" i="20"/>
  <c r="D17" i="20" s="1"/>
  <c r="L14" i="20"/>
  <c r="F14" i="20"/>
  <c r="E14" i="20"/>
  <c r="AB12" i="20"/>
  <c r="AA12" i="20"/>
  <c r="Y12" i="20"/>
  <c r="J17" i="20" s="1"/>
  <c r="W12" i="20"/>
  <c r="V12" i="20"/>
  <c r="U12" i="20"/>
  <c r="T12" i="20"/>
  <c r="E17" i="20" s="1"/>
  <c r="S12" i="20"/>
  <c r="R12" i="20"/>
  <c r="C17" i="20" s="1"/>
  <c r="Q12" i="20"/>
  <c r="P12" i="20"/>
  <c r="B17" i="20" s="1"/>
  <c r="Q9" i="20"/>
  <c r="Y8" i="20"/>
  <c r="W8" i="20"/>
  <c r="S8" i="20"/>
  <c r="Q8" i="20"/>
  <c r="Y7" i="20"/>
  <c r="X7" i="20"/>
  <c r="I14" i="20" s="1"/>
  <c r="W7" i="20"/>
  <c r="V7" i="20"/>
  <c r="H14" i="20" s="1"/>
  <c r="AC7" i="20" s="1" a="1"/>
  <c r="AC7" i="20" s="1"/>
  <c r="U7" i="20"/>
  <c r="T7" i="20"/>
  <c r="D14" i="20" s="1"/>
  <c r="S7" i="20"/>
  <c r="R7" i="20"/>
  <c r="C14" i="20" s="1"/>
  <c r="Q7" i="20"/>
  <c r="P7" i="20" a="1"/>
  <c r="P7" i="20" s="1"/>
  <c r="B14" i="20" s="1"/>
  <c r="AB7" i="20" s="1" a="1"/>
  <c r="AB7" i="20" s="1"/>
  <c r="E4" i="20"/>
  <c r="B4" i="20"/>
  <c r="V63" i="19"/>
  <c r="Q62" i="19"/>
  <c r="X59" i="19" s="1"/>
  <c r="W59" i="19" s="1"/>
  <c r="N62" i="19"/>
  <c r="K62" i="19"/>
  <c r="B62" i="19"/>
  <c r="V52" i="19"/>
  <c r="O51" i="19"/>
  <c r="J51" i="19"/>
  <c r="F51" i="19"/>
  <c r="B51" i="19"/>
  <c r="X48" i="19"/>
  <c r="W48" i="19" s="1"/>
  <c r="V42" i="19"/>
  <c r="X38" i="19" s="1"/>
  <c r="W38" i="19" s="1"/>
  <c r="O41" i="19"/>
  <c r="J41" i="19"/>
  <c r="G41" i="19"/>
  <c r="D41" i="19"/>
  <c r="B41" i="19"/>
  <c r="V32" i="19"/>
  <c r="P31" i="19"/>
  <c r="N31" i="19"/>
  <c r="L31" i="19"/>
  <c r="J31" i="19"/>
  <c r="X12" i="20" s="1"/>
  <c r="F17" i="20" s="1"/>
  <c r="G31" i="19"/>
  <c r="D31" i="19"/>
  <c r="B31" i="19"/>
  <c r="V24" i="19"/>
  <c r="O23" i="19"/>
  <c r="J23" i="19"/>
  <c r="B23" i="19"/>
  <c r="X20" i="19"/>
  <c r="W20" i="19" s="1"/>
  <c r="V15" i="19"/>
  <c r="X11" i="19" s="1"/>
  <c r="W11" i="19" s="1"/>
  <c r="O14" i="19"/>
  <c r="J14" i="19"/>
  <c r="F14" i="19"/>
  <c r="B14" i="19"/>
  <c r="J4" i="19"/>
  <c r="B4" i="19"/>
  <c r="E14" i="8"/>
  <c r="Y8" i="8"/>
  <c r="Y7" i="8"/>
  <c r="W8" i="8"/>
  <c r="W7" i="8"/>
  <c r="U7" i="8"/>
  <c r="H17" i="8" s="1"/>
  <c r="S8" i="8"/>
  <c r="S7" i="8"/>
  <c r="Q7" i="8"/>
  <c r="H4" i="8"/>
  <c r="E4" i="8"/>
  <c r="K19" i="8"/>
  <c r="K11" i="4" s="1"/>
  <c r="G11" i="4"/>
  <c r="C11" i="4"/>
  <c r="S12" i="8"/>
  <c r="G19" i="8"/>
  <c r="C19" i="8"/>
  <c r="B4" i="4"/>
  <c r="B4" i="8"/>
  <c r="T12" i="8"/>
  <c r="AB12" i="8"/>
  <c r="Y12" i="8"/>
  <c r="AA12" i="8"/>
  <c r="I17" i="8"/>
  <c r="W12" i="8"/>
  <c r="V12" i="8"/>
  <c r="U12" i="8"/>
  <c r="R12" i="8"/>
  <c r="Q12" i="8"/>
  <c r="X7" i="8"/>
  <c r="V7" i="8"/>
  <c r="T7" i="8"/>
  <c r="R7" i="8"/>
  <c r="G17" i="8" s="1"/>
  <c r="P7" i="8" a="1"/>
  <c r="P7" i="8" s="1"/>
  <c r="P12" i="8"/>
  <c r="Q8" i="8"/>
  <c r="AC12" i="20" l="1" a="1"/>
  <c r="AC12" i="20" s="1"/>
  <c r="AB8" i="20"/>
  <c r="M14" i="20" s="1"/>
  <c r="E15" i="20" s="1"/>
  <c r="H15" i="20" s="1"/>
  <c r="C16" i="4" s="1"/>
  <c r="AC8" i="20"/>
  <c r="AD12" i="20" a="1"/>
  <c r="AD12" i="20" s="1"/>
  <c r="G17" i="20"/>
  <c r="X28" i="19"/>
  <c r="W28" i="19" s="1"/>
  <c r="J17" i="8"/>
  <c r="E17" i="8"/>
  <c r="B17" i="8"/>
  <c r="AC12" i="8" s="1" a="1"/>
  <c r="AC12" i="8" s="1"/>
  <c r="C17" i="8"/>
  <c r="K14" i="8"/>
  <c r="J14" i="8"/>
  <c r="D17" i="8" s="1"/>
  <c r="F14" i="8"/>
  <c r="D14" i="8"/>
  <c r="Q9" i="8"/>
  <c r="L17" i="20" l="1"/>
  <c r="E18" i="20" s="1"/>
  <c r="H18" i="20" s="1"/>
  <c r="I16" i="4" s="1"/>
  <c r="H14" i="8"/>
  <c r="AC7" i="8" s="1" a="1"/>
  <c r="AC7" i="8" s="1"/>
  <c r="AC8" i="8" s="1"/>
  <c r="I14" i="8"/>
  <c r="C14" i="8"/>
  <c r="B14" i="8"/>
  <c r="AB7" i="8" l="1" a="1"/>
  <c r="AB7" i="8" s="1"/>
  <c r="H4" i="4"/>
  <c r="E4" i="4"/>
  <c r="T4" i="2"/>
  <c r="J4" i="2"/>
  <c r="B4" i="2"/>
  <c r="J51" i="2"/>
  <c r="V63" i="2"/>
  <c r="V52" i="2"/>
  <c r="V42" i="2"/>
  <c r="V32" i="2"/>
  <c r="V24" i="2"/>
  <c r="V15" i="2"/>
  <c r="Q62" i="2"/>
  <c r="N62" i="2"/>
  <c r="K62" i="2"/>
  <c r="B62" i="2"/>
  <c r="O51" i="2"/>
  <c r="F51" i="2"/>
  <c r="B51" i="2"/>
  <c r="O41" i="2"/>
  <c r="J41" i="2"/>
  <c r="G41" i="2"/>
  <c r="D41" i="2"/>
  <c r="B41" i="2"/>
  <c r="P31" i="2"/>
  <c r="N31" i="2"/>
  <c r="L31" i="2"/>
  <c r="J31" i="2"/>
  <c r="G31" i="2"/>
  <c r="B31" i="2"/>
  <c r="D31" i="2"/>
  <c r="O23" i="2"/>
  <c r="J23" i="2"/>
  <c r="J14" i="2"/>
  <c r="B23" i="2"/>
  <c r="O14" i="2"/>
  <c r="F14" i="2"/>
  <c r="B14" i="2"/>
  <c r="AB8" i="8" l="1"/>
  <c r="M14" i="8" s="1"/>
  <c r="E15" i="8" s="1"/>
  <c r="H15" i="8" s="1"/>
  <c r="C10" i="4" s="1"/>
  <c r="X12" i="8"/>
  <c r="F17" i="8" s="1"/>
  <c r="AD12" i="8" s="1" a="1"/>
  <c r="AD12" i="8" s="1"/>
  <c r="L17" i="8" s="1"/>
  <c r="E18" i="8" s="1"/>
  <c r="X11" i="2"/>
  <c r="W11" i="2" s="1"/>
  <c r="B7" i="4" s="1"/>
  <c r="X48" i="2"/>
  <c r="W48" i="2" s="1"/>
  <c r="J7" i="4" s="1"/>
  <c r="X20" i="2"/>
  <c r="W20" i="2" s="1"/>
  <c r="D7" i="4" s="1"/>
  <c r="X59" i="2"/>
  <c r="W59" i="2" s="1"/>
  <c r="L7" i="4" s="1"/>
  <c r="X38" i="2"/>
  <c r="W38" i="2" s="1"/>
  <c r="H7" i="4" s="1"/>
  <c r="X28" i="2"/>
  <c r="W28" i="2" s="1"/>
  <c r="F7" i="4" s="1"/>
  <c r="H18" i="8" l="1"/>
  <c r="I1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<sst xmlns="http://schemas.openxmlformats.org/spreadsheetml/2006/main" count="669" uniqueCount="259">
  <si>
    <t>문서번호</t>
  </si>
  <si>
    <t>평가구분</t>
  </si>
  <si>
    <t>평가대상</t>
  </si>
  <si>
    <t>평가번호</t>
  </si>
  <si>
    <t>부서명</t>
  </si>
  <si>
    <t>작업명</t>
  </si>
  <si>
    <t>전체작업조건</t>
  </si>
  <si>
    <t>1일작업시간</t>
  </si>
  <si>
    <t>1일생산량</t>
  </si>
  <si>
    <t>요소작업명</t>
  </si>
  <si>
    <t>작업내용</t>
  </si>
  <si>
    <t>관련사진</t>
  </si>
  <si>
    <t>기타 위험요인</t>
  </si>
  <si>
    <t>작업시간(특근 등)</t>
  </si>
  <si>
    <t>작업속도</t>
  </si>
  <si>
    <t>인력</t>
  </si>
  <si>
    <t>작업량(일의종류)</t>
  </si>
  <si>
    <t>작업 설비</t>
  </si>
  <si>
    <t>참조</t>
  </si>
  <si>
    <t>자세[5]</t>
  </si>
  <si>
    <t>힘[+1]</t>
  </si>
  <si>
    <t>정적/반복[+1]</t>
  </si>
  <si>
    <t>점수[7]</t>
  </si>
  <si>
    <t>굴곡/신전[3]</t>
  </si>
  <si>
    <t>외전/내전[+2]</t>
  </si>
  <si>
    <t>1분이상 정적자세(1)</t>
  </si>
  <si>
    <t>내전[2]</t>
  </si>
  <si>
    <t>굴곡[3]</t>
  </si>
  <si>
    <t>회내전/회외전[+2]</t>
  </si>
  <si>
    <t>회내전[2]</t>
  </si>
  <si>
    <t>외전/내전/외회전/내회전[+2]</t>
  </si>
  <si>
    <t>목</t>
  </si>
  <si>
    <t>회전/측면기울임[+2]</t>
  </si>
  <si>
    <t>자세 및 동작[5]</t>
  </si>
  <si>
    <t>정적[+1]</t>
  </si>
  <si>
    <t>부담부위</t>
    <phoneticPr fontId="4" type="noConversion"/>
  </si>
  <si>
    <t>작업빈도</t>
    <phoneticPr fontId="4" type="noConversion"/>
  </si>
  <si>
    <t>고용형태</t>
    <phoneticPr fontId="4" type="noConversion"/>
  </si>
  <si>
    <t>직무자율성</t>
    <phoneticPr fontId="4" type="noConversion"/>
  </si>
  <si>
    <t>작업조건
변화
(최근3년)</t>
    <phoneticPr fontId="4" type="noConversion"/>
  </si>
  <si>
    <t>작업속도와 휴식 등 여유시간 스스로 조절 가능</t>
    <phoneticPr fontId="4" type="noConversion"/>
  </si>
  <si>
    <t>라인작업은 아니나 정해진 휴식시간 외에는 작업을 해야 함</t>
    <phoneticPr fontId="4" type="noConversion"/>
  </si>
  <si>
    <t>라인작업이며 정해진 작업속도에 맞추어야 함</t>
    <phoneticPr fontId="4" type="noConversion"/>
  </si>
  <si>
    <t>외전[2]</t>
    <phoneticPr fontId="4" type="noConversion"/>
  </si>
  <si>
    <t>취급물 중량
손가락&gt;1kg
 또는 
손&gt;2kg(1)</t>
    <phoneticPr fontId="4" type="noConversion"/>
  </si>
  <si>
    <t>굴곡</t>
    <phoneticPr fontId="4" type="noConversion"/>
  </si>
  <si>
    <t>손/손목</t>
    <phoneticPr fontId="4" type="noConversion"/>
  </si>
  <si>
    <r>
      <t xml:space="preserve">위험요인 노출특성
</t>
    </r>
    <r>
      <rPr>
        <sz val="10"/>
        <color rgb="FF000000"/>
        <rFont val="굴림"/>
        <family val="3"/>
        <charset val="129"/>
      </rPr>
      <t>(신체 부위별 자세/힘의사용/정적/반복/진동/압박/충격 등 부가점수 포함 최고 점수 : 7점)</t>
    </r>
    <phoneticPr fontId="4" type="noConversion"/>
  </si>
  <si>
    <t>회외전[2]</t>
    <phoneticPr fontId="4" type="noConversion"/>
  </si>
  <si>
    <t>팔꿈치
/아래팔</t>
    <phoneticPr fontId="4" type="noConversion"/>
  </si>
  <si>
    <t>어깨
/위팔</t>
    <phoneticPr fontId="4" type="noConversion"/>
  </si>
  <si>
    <t>허리
/고관절</t>
    <phoneticPr fontId="4" type="noConversion"/>
  </si>
  <si>
    <t>무릎
/발목</t>
    <phoneticPr fontId="4" type="noConversion"/>
  </si>
  <si>
    <t>무릎꿇기/쪼그리기
[3]</t>
    <phoneticPr fontId="4" type="noConversion"/>
  </si>
  <si>
    <t>오르내리기/운전형태/걷기[+2]</t>
    <phoneticPr fontId="4" type="noConversion"/>
  </si>
  <si>
    <t>굴곡
[3]</t>
    <phoneticPr fontId="4" type="noConversion"/>
  </si>
  <si>
    <t>중립
[1]</t>
    <phoneticPr fontId="4" type="noConversion"/>
  </si>
  <si>
    <t>신전
[3]</t>
    <phoneticPr fontId="4" type="noConversion"/>
  </si>
  <si>
    <t>회전
[2]</t>
    <phoneticPr fontId="4" type="noConversion"/>
  </si>
  <si>
    <t>측면기울임
[2]</t>
    <phoneticPr fontId="4" type="noConversion"/>
  </si>
  <si>
    <t>신전[3]</t>
    <phoneticPr fontId="4" type="noConversion"/>
  </si>
  <si>
    <t>회전[2]</t>
    <phoneticPr fontId="4" type="noConversion"/>
  </si>
  <si>
    <t>측면기울임[2]</t>
    <phoneticPr fontId="4" type="noConversion"/>
  </si>
  <si>
    <t>정기조사</t>
    <phoneticPr fontId="4" type="noConversion"/>
  </si>
  <si>
    <t>(</t>
    <phoneticPr fontId="4" type="noConversion"/>
  </si>
  <si>
    <t>변화있음</t>
    <phoneticPr fontId="4" type="noConversion"/>
  </si>
  <si>
    <t>작업순환주기</t>
    <phoneticPr fontId="4" type="noConversion"/>
  </si>
  <si>
    <t>[</t>
    <phoneticPr fontId="4" type="noConversion"/>
  </si>
  <si>
    <t>]</t>
    <phoneticPr fontId="4" type="noConversion"/>
  </si>
  <si>
    <t>])</t>
    <phoneticPr fontId="4" type="noConversion"/>
  </si>
  <si>
    <t>작업자 :</t>
    <phoneticPr fontId="4" type="noConversion"/>
  </si>
  <si>
    <t xml:space="preserve">◆ 부가점수 (각 +1) : </t>
    <phoneticPr fontId="4" type="noConversion"/>
  </si>
  <si>
    <t>취급물 중량
&gt;3kg
(1)</t>
    <phoneticPr fontId="4" type="noConversion"/>
  </si>
  <si>
    <t>목의 굴곡/신전 상태에서 좌우 회전/꺾임이 동시에 작용</t>
    <phoneticPr fontId="4" type="noConversion"/>
  </si>
  <si>
    <t>어깨에 중량물을 올려 운반하는 작업</t>
    <phoneticPr fontId="4" type="noConversion"/>
  </si>
  <si>
    <t>일일 취급 
누적 중량
&gt;250kg(1)</t>
    <phoneticPr fontId="4" type="noConversion"/>
  </si>
  <si>
    <t>취급하는
물체의 무게&gt;5kg(1)</t>
    <phoneticPr fontId="4" type="noConversion"/>
  </si>
  <si>
    <t>허리의 굴곡/신전 상태에서 좌우 회전/꺾임이 동시에 작용</t>
    <phoneticPr fontId="4" type="noConversion"/>
  </si>
  <si>
    <t>중량물을 운반하거나 밀고 당기는 작업 시 노면상태 불량</t>
    <phoneticPr fontId="4" type="noConversion"/>
  </si>
  <si>
    <t>손/손목</t>
  </si>
  <si>
    <t>팔/팔꿈치</t>
  </si>
  <si>
    <t>어깨/위팔</t>
  </si>
  <si>
    <t>무릎/발목</t>
  </si>
  <si>
    <t xml:space="preserve">■ 평가결과 : </t>
  </si>
  <si>
    <r>
      <t xml:space="preserve">관리 단계 : </t>
    </r>
    <r>
      <rPr>
        <sz val="10"/>
        <color rgb="FF000000"/>
        <rFont val="굴림"/>
        <family val="3"/>
        <charset val="129"/>
      </rPr>
      <t>☐</t>
    </r>
    <r>
      <rPr>
        <b/>
        <sz val="10"/>
        <color rgb="FF000000"/>
        <rFont val="굴림"/>
        <family val="3"/>
        <charset val="129"/>
      </rPr>
      <t xml:space="preserve">상[7점] / </t>
    </r>
    <r>
      <rPr>
        <sz val="10"/>
        <color rgb="FF000000"/>
        <rFont val="굴림"/>
        <family val="3"/>
        <charset val="129"/>
      </rPr>
      <t>☐</t>
    </r>
    <r>
      <rPr>
        <b/>
        <sz val="10"/>
        <color rgb="FF000000"/>
        <rFont val="굴림"/>
        <family val="3"/>
        <charset val="129"/>
      </rPr>
      <t xml:space="preserve">중상[5-6점] / </t>
    </r>
    <r>
      <rPr>
        <sz val="10"/>
        <color rgb="FF000000"/>
        <rFont val="굴림"/>
        <family val="3"/>
        <charset val="129"/>
      </rPr>
      <t>☐</t>
    </r>
    <r>
      <rPr>
        <b/>
        <sz val="10"/>
        <color rgb="FF000000"/>
        <rFont val="굴림"/>
        <family val="3"/>
        <charset val="129"/>
      </rPr>
      <t xml:space="preserve">중[3-4점] / </t>
    </r>
    <r>
      <rPr>
        <sz val="10"/>
        <color rgb="FF000000"/>
        <rFont val="굴림"/>
        <family val="3"/>
        <charset val="129"/>
      </rPr>
      <t>☐</t>
    </r>
    <r>
      <rPr>
        <b/>
        <sz val="10"/>
        <color rgb="FF000000"/>
        <rFont val="굴림"/>
        <family val="3"/>
        <charset val="129"/>
      </rPr>
      <t>하[1-2점]</t>
    </r>
  </si>
  <si>
    <t>※ 「중상」단계 이상인 경우, 예방을 위해 우선 개선조치를 취해야 함.</t>
  </si>
  <si>
    <t>개선 검토 방향(안)</t>
  </si>
  <si>
    <t>주요 문제점</t>
    <phoneticPr fontId="4" type="noConversion"/>
  </si>
  <si>
    <t>조사자:</t>
    <phoneticPr fontId="4" type="noConversion"/>
  </si>
  <si>
    <t>평가
대상</t>
    <phoneticPr fontId="4" type="noConversion"/>
  </si>
  <si>
    <t>위험
요인</t>
    <phoneticPr fontId="4" type="noConversion"/>
  </si>
  <si>
    <t>허리/고관절</t>
    <phoneticPr fontId="4" type="noConversion"/>
  </si>
  <si>
    <t>분당 4회이상 반복(1)</t>
    <phoneticPr fontId="4" type="noConversion"/>
  </si>
  <si>
    <t>분당 2회이상 반복(1)</t>
    <phoneticPr fontId="4" type="noConversion"/>
  </si>
  <si>
    <t>`</t>
    <phoneticPr fontId="4" type="noConversion"/>
  </si>
  <si>
    <t>문서번호</t>
    <phoneticPr fontId="4" type="noConversion"/>
  </si>
  <si>
    <t>-</t>
    <phoneticPr fontId="4" type="noConversion"/>
  </si>
  <si>
    <t>수집경로</t>
    <phoneticPr fontId="4" type="noConversion"/>
  </si>
  <si>
    <t>)kg</t>
    <phoneticPr fontId="4" type="noConversion"/>
  </si>
  <si>
    <t>)</t>
    <phoneticPr fontId="4" type="noConversion"/>
  </si>
  <si>
    <t>[공구 1kg 이상]</t>
    <phoneticPr fontId="4" type="noConversion"/>
  </si>
  <si>
    <t>[손가락 쥐기/집기]</t>
    <phoneticPr fontId="4" type="noConversion"/>
  </si>
  <si>
    <t>[과도한 손가락 신전]</t>
    <phoneticPr fontId="4" type="noConversion"/>
  </si>
  <si>
    <t>[손을 망치처럼 사용]</t>
    <phoneticPr fontId="4" type="noConversion"/>
  </si>
  <si>
    <t>[공구 2kg 이상]</t>
    <phoneticPr fontId="4" type="noConversion"/>
  </si>
  <si>
    <t>[공구진동]</t>
    <phoneticPr fontId="4" type="noConversion"/>
  </si>
  <si>
    <t>[접촉 압박/충격]</t>
    <phoneticPr fontId="4" type="noConversion"/>
  </si>
  <si>
    <t>[미끄러운 장갑 착용]</t>
    <phoneticPr fontId="4" type="noConversion"/>
  </si>
  <si>
    <t>신전</t>
  </si>
  <si>
    <t>[공구 진동]</t>
    <phoneticPr fontId="4" type="noConversion"/>
  </si>
  <si>
    <t>[팔꿈치 접촉 압박]</t>
    <phoneticPr fontId="4" type="noConversion"/>
  </si>
  <si>
    <t>[손으로 밀기/당기기]</t>
    <phoneticPr fontId="4" type="noConversion"/>
  </si>
  <si>
    <t>[손 망치 작업]</t>
    <phoneticPr fontId="4" type="noConversion"/>
  </si>
  <si>
    <t>[팔꿈치 과도한 신전]</t>
    <phoneticPr fontId="4" type="noConversion"/>
  </si>
  <si>
    <t>[손으로 중량물 운반]</t>
    <phoneticPr fontId="4" type="noConversion"/>
  </si>
  <si>
    <t>[공구의 진동]</t>
    <phoneticPr fontId="4" type="noConversion"/>
  </si>
  <si>
    <t>[어깨 치켜 올림]</t>
    <phoneticPr fontId="4" type="noConversion"/>
  </si>
  <si>
    <t>[어깨로 운반]</t>
    <phoneticPr fontId="4" type="noConversion"/>
  </si>
  <si>
    <t>[손으로 중량물 밀기/당기기]</t>
    <phoneticPr fontId="4" type="noConversion"/>
  </si>
  <si>
    <t>[접촉 압박]</t>
    <phoneticPr fontId="4" type="noConversion"/>
  </si>
  <si>
    <t>[허리 굽히고 팔 뻗기]</t>
    <phoneticPr fontId="4" type="noConversion"/>
  </si>
  <si>
    <t>[손을 이용해 중량물 들기/내리기]</t>
    <phoneticPr fontId="4" type="noConversion"/>
  </si>
  <si>
    <t>[누운자세/엎드린자세]</t>
    <phoneticPr fontId="4" type="noConversion"/>
  </si>
  <si>
    <t>[어깨위 손 올림]</t>
    <phoneticPr fontId="4" type="noConversion"/>
  </si>
  <si>
    <t>[움직임이 제한된 좁은 공간]</t>
    <phoneticPr fontId="4" type="noConversion"/>
  </si>
  <si>
    <t>[허리 굽히고  팔 뻗기]</t>
    <phoneticPr fontId="4" type="noConversion"/>
  </si>
  <si>
    <t>[어깨로 운반하는 작업]</t>
    <phoneticPr fontId="4" type="noConversion"/>
  </si>
  <si>
    <t>[차량 등 전신 진동]</t>
    <phoneticPr fontId="4" type="noConversion"/>
  </si>
  <si>
    <t>[중량물 5kg이상]</t>
    <phoneticPr fontId="4" type="noConversion"/>
  </si>
  <si>
    <t>[10kg 이상+2]</t>
    <phoneticPr fontId="4" type="noConversion"/>
  </si>
  <si>
    <t>[등을 사용해 운반]</t>
    <phoneticPr fontId="4" type="noConversion"/>
  </si>
  <si>
    <t>[20kg 이상 +3]</t>
    <phoneticPr fontId="4" type="noConversion"/>
  </si>
  <si>
    <t>[무릎/발목 비틀림]</t>
    <phoneticPr fontId="4" type="noConversion"/>
  </si>
  <si>
    <t>[중량물 10kg 이상]</t>
    <phoneticPr fontId="4" type="noConversion"/>
  </si>
  <si>
    <t>[중량물 20kg이상+2]</t>
  </si>
  <si>
    <t>[무릎 접촉/충격]</t>
  </si>
  <si>
    <t>뛰어내리기</t>
    <phoneticPr fontId="4" type="noConversion"/>
  </si>
  <si>
    <t>상시작업</t>
    <phoneticPr fontId="4" type="noConversion"/>
  </si>
  <si>
    <t>간헐작업</t>
    <phoneticPr fontId="4" type="noConversion"/>
  </si>
  <si>
    <t>정규직</t>
    <phoneticPr fontId="4" type="noConversion"/>
  </si>
  <si>
    <t>임시직</t>
    <phoneticPr fontId="4" type="noConversion"/>
  </si>
  <si>
    <t>일용직</t>
    <phoneticPr fontId="4" type="noConversion"/>
  </si>
  <si>
    <t>기타</t>
    <phoneticPr fontId="4" type="noConversion"/>
  </si>
  <si>
    <t>소음</t>
    <phoneticPr fontId="4" type="noConversion"/>
  </si>
  <si>
    <t>온열</t>
    <phoneticPr fontId="4" type="noConversion"/>
  </si>
  <si>
    <t>화상</t>
    <phoneticPr fontId="4" type="noConversion"/>
  </si>
  <si>
    <t>분진</t>
    <phoneticPr fontId="4" type="noConversion"/>
  </si>
  <si>
    <t>사고성재해</t>
    <phoneticPr fontId="4" type="noConversion"/>
  </si>
  <si>
    <t>스트레스</t>
    <phoneticPr fontId="4" type="noConversion"/>
  </si>
  <si>
    <t>팔꿈치/아래팔</t>
    <phoneticPr fontId="4" type="noConversion"/>
  </si>
  <si>
    <t>어깨/위팔</t>
    <phoneticPr fontId="4" type="noConversion"/>
  </si>
  <si>
    <t>목</t>
    <phoneticPr fontId="4" type="noConversion"/>
  </si>
  <si>
    <t>무릎/발목</t>
    <phoneticPr fontId="4" type="noConversion"/>
  </si>
  <si>
    <t>변화없음</t>
    <phoneticPr fontId="4" type="noConversion"/>
  </si>
  <si>
    <t>작업명</t>
    <phoneticPr fontId="4" type="noConversion"/>
  </si>
  <si>
    <t>작업일수</t>
    <phoneticPr fontId="4" type="noConversion"/>
  </si>
  <si>
    <t>2</t>
    <phoneticPr fontId="4" type="noConversion"/>
  </si>
  <si>
    <t xml:space="preserve"> ×</t>
  </si>
  <si>
    <t>내전[2]</t>
    <phoneticPr fontId="4" type="noConversion"/>
  </si>
  <si>
    <t>외회전[2]</t>
    <phoneticPr fontId="4" type="noConversion"/>
  </si>
  <si>
    <t>내회전[2]</t>
    <phoneticPr fontId="4" type="noConversion"/>
  </si>
  <si>
    <t>머리 또는 목 부위
중량물 또는 힘이 작용
(1)</t>
    <phoneticPr fontId="4" type="noConversion"/>
  </si>
  <si>
    <t>오르내리기[2]</t>
    <phoneticPr fontId="4" type="noConversion"/>
  </si>
  <si>
    <t>운전형태[2]</t>
    <phoneticPr fontId="4" type="noConversion"/>
  </si>
  <si>
    <t>걷기[2]</t>
    <phoneticPr fontId="4" type="noConversion"/>
  </si>
  <si>
    <t>[무릎꿇기, 쪼그린 자세]</t>
    <phoneticPr fontId="4" type="noConversion"/>
  </si>
  <si>
    <t>작업
특성</t>
    <phoneticPr fontId="4" type="noConversion"/>
  </si>
  <si>
    <t>빈도 1일</t>
    <phoneticPr fontId="4" type="noConversion"/>
  </si>
  <si>
    <t>회</t>
    <phoneticPr fontId="4" type="noConversion"/>
  </si>
  <si>
    <t>1일 평균</t>
    <phoneticPr fontId="4" type="noConversion"/>
  </si>
  <si>
    <t>시간</t>
    <phoneticPr fontId="4" type="noConversion"/>
  </si>
  <si>
    <t>근골격계 유해요인조사 관리카드(2/3)</t>
    <phoneticPr fontId="4" type="noConversion"/>
  </si>
  <si>
    <t>근골격계 유해요인조사 관리카드(1/3)</t>
    <phoneticPr fontId="4" type="noConversion"/>
  </si>
  <si>
    <t>근골격계 유해요인조사 관리카드(3/3)</t>
    <phoneticPr fontId="4" type="noConversion"/>
  </si>
  <si>
    <t>[어깨 위로 손 올려 중량물 취급]</t>
    <phoneticPr fontId="4" type="noConversion"/>
  </si>
  <si>
    <t>◆ 전신진동발생원</t>
    <phoneticPr fontId="4" type="noConversion"/>
  </si>
  <si>
    <t>◆ 밀고당기기</t>
    <phoneticPr fontId="4" type="noConversion"/>
  </si>
  <si>
    <t>◆ 중량물 무게</t>
    <phoneticPr fontId="4" type="noConversion"/>
  </si>
  <si>
    <t>◆ 공구무게</t>
    <phoneticPr fontId="4" type="noConversion"/>
  </si>
  <si>
    <t xml:space="preserve">사업장명 : </t>
    <phoneticPr fontId="4" type="noConversion"/>
  </si>
  <si>
    <t>)kgf</t>
    <phoneticPr fontId="4" type="noConversion"/>
  </si>
  <si>
    <t>상완</t>
    <phoneticPr fontId="4" type="noConversion"/>
  </si>
  <si>
    <t>전완</t>
    <phoneticPr fontId="4" type="noConversion"/>
  </si>
  <si>
    <t>손목</t>
    <phoneticPr fontId="4" type="noConversion"/>
  </si>
  <si>
    <t>비틀림</t>
    <phoneticPr fontId="4" type="noConversion"/>
  </si>
  <si>
    <t>근육</t>
    <phoneticPr fontId="4" type="noConversion"/>
  </si>
  <si>
    <t>힘</t>
    <phoneticPr fontId="4" type="noConversion"/>
  </si>
  <si>
    <t>상체</t>
    <phoneticPr fontId="4" type="noConversion"/>
  </si>
  <si>
    <t>다리</t>
    <phoneticPr fontId="4" type="noConversion"/>
  </si>
  <si>
    <t>총점</t>
    <phoneticPr fontId="4" type="noConversion"/>
  </si>
  <si>
    <t xml:space="preserve">■ 부하수준(1~4) : </t>
    <phoneticPr fontId="4" type="noConversion"/>
  </si>
  <si>
    <t>상완자세</t>
    <phoneticPr fontId="4" type="noConversion"/>
  </si>
  <si>
    <t>상완보정</t>
    <phoneticPr fontId="4" type="noConversion"/>
  </si>
  <si>
    <t>팔이 무언가에 지탱되거나 기댄 상태인 경우</t>
    <phoneticPr fontId="4" type="noConversion"/>
  </si>
  <si>
    <t>전완자세</t>
    <phoneticPr fontId="4" type="noConversion"/>
  </si>
  <si>
    <t>전완보정</t>
    <phoneticPr fontId="4" type="noConversion"/>
  </si>
  <si>
    <t>손목자세</t>
    <phoneticPr fontId="4" type="noConversion"/>
  </si>
  <si>
    <t>손목보정</t>
    <phoneticPr fontId="4" type="noConversion"/>
  </si>
  <si>
    <t>목자세</t>
    <phoneticPr fontId="4" type="noConversion"/>
  </si>
  <si>
    <t>목보정</t>
    <phoneticPr fontId="4" type="noConversion"/>
  </si>
  <si>
    <t>상체자세</t>
    <phoneticPr fontId="4" type="noConversion"/>
  </si>
  <si>
    <t>상체보정</t>
    <phoneticPr fontId="4" type="noConversion"/>
  </si>
  <si>
    <t>다리보정</t>
    <phoneticPr fontId="4" type="noConversion"/>
  </si>
  <si>
    <t>다리와 발이 잘 지지되지 못하고, 체중분포도 균형을 이루지 못한 경우</t>
    <phoneticPr fontId="4" type="noConversion"/>
  </si>
  <si>
    <t>RULA_A</t>
    <phoneticPr fontId="4" type="noConversion"/>
  </si>
  <si>
    <t>RULA_B</t>
    <phoneticPr fontId="4" type="noConversion"/>
  </si>
  <si>
    <t>점수A</t>
    <phoneticPr fontId="4" type="noConversion"/>
  </si>
  <si>
    <t>점수B</t>
    <phoneticPr fontId="4" type="noConversion"/>
  </si>
  <si>
    <t>몸통</t>
    <phoneticPr fontId="4" type="noConversion"/>
  </si>
  <si>
    <t>무게</t>
    <phoneticPr fontId="4" type="noConversion"/>
  </si>
  <si>
    <t>윗팔</t>
    <phoneticPr fontId="4" type="noConversion"/>
  </si>
  <si>
    <t>아래팔</t>
    <phoneticPr fontId="4" type="noConversion"/>
  </si>
  <si>
    <t>손잡이</t>
    <phoneticPr fontId="4" type="noConversion"/>
  </si>
  <si>
    <t>행동점수</t>
    <phoneticPr fontId="4" type="noConversion"/>
  </si>
  <si>
    <t xml:space="preserve">■ 조치단계(0~4) : </t>
    <phoneticPr fontId="4" type="noConversion"/>
  </si>
  <si>
    <t>몸통굴곡</t>
    <phoneticPr fontId="4" type="noConversion"/>
  </si>
  <si>
    <t>몸통신전</t>
    <phoneticPr fontId="4" type="noConversion"/>
  </si>
  <si>
    <t>무릎</t>
    <phoneticPr fontId="4" type="noConversion"/>
  </si>
  <si>
    <t>30~60도 구부리기</t>
    <phoneticPr fontId="4" type="noConversion"/>
  </si>
  <si>
    <t>60도 이상 구부리기</t>
    <phoneticPr fontId="4" type="noConversion"/>
  </si>
  <si>
    <t>급격하게 힘을 사용하여 무리가 오는 경우</t>
    <phoneticPr fontId="4" type="noConversion"/>
  </si>
  <si>
    <t>무게보정</t>
    <phoneticPr fontId="4" type="noConversion"/>
  </si>
  <si>
    <t>윗팔굴곡</t>
    <phoneticPr fontId="4" type="noConversion"/>
  </si>
  <si>
    <t>윗팔신전</t>
    <phoneticPr fontId="4" type="noConversion"/>
  </si>
  <si>
    <t>윗팔보정</t>
    <phoneticPr fontId="4" type="noConversion"/>
  </si>
  <si>
    <t>양호</t>
    <phoneticPr fontId="4" type="noConversion"/>
  </si>
  <si>
    <t>적당</t>
    <phoneticPr fontId="4" type="noConversion"/>
  </si>
  <si>
    <t>불충분</t>
    <phoneticPr fontId="4" type="noConversion"/>
  </si>
  <si>
    <t>좋지 않음</t>
    <phoneticPr fontId="4" type="noConversion"/>
  </si>
  <si>
    <t>행동점수1</t>
    <phoneticPr fontId="4" type="noConversion"/>
  </si>
  <si>
    <t>행동점수2</t>
    <phoneticPr fontId="4" type="noConversion"/>
  </si>
  <si>
    <t>행동점수3</t>
    <phoneticPr fontId="4" type="noConversion"/>
  </si>
  <si>
    <t>급속하게 큰 범위로 자세를 변경하거나 발판이 불안정한 경우</t>
    <phoneticPr fontId="4" type="noConversion"/>
  </si>
  <si>
    <t>REBA_A</t>
    <phoneticPr fontId="4" type="noConversion"/>
  </si>
  <si>
    <t>REBA_B</t>
    <phoneticPr fontId="4" type="noConversion"/>
  </si>
  <si>
    <t>2-1</t>
    <phoneticPr fontId="4" type="noConversion"/>
  </si>
  <si>
    <t>근골격계 유해요인조사 관리카드(추가항목)</t>
    <phoneticPr fontId="4" type="noConversion"/>
  </si>
  <si>
    <t>입력</t>
    <phoneticPr fontId="4" type="noConversion"/>
  </si>
  <si>
    <t>RULA</t>
    <phoneticPr fontId="4" type="noConversion"/>
  </si>
  <si>
    <t>REBA</t>
    <phoneticPr fontId="4" type="noConversion"/>
  </si>
  <si>
    <t>Push-Pull</t>
    <phoneticPr fontId="4" type="noConversion"/>
  </si>
  <si>
    <t>kg</t>
    <phoneticPr fontId="4" type="noConversion"/>
  </si>
  <si>
    <t>팔</t>
    <phoneticPr fontId="4" type="noConversion"/>
  </si>
  <si>
    <t>손</t>
    <phoneticPr fontId="4" type="noConversion"/>
  </si>
  <si>
    <t>손가락</t>
    <phoneticPr fontId="4" type="noConversion"/>
  </si>
  <si>
    <t>밀고당기기(kgf)</t>
    <phoneticPr fontId="4" type="noConversion"/>
  </si>
  <si>
    <t>추가평가</t>
    <phoneticPr fontId="4" type="noConversion"/>
  </si>
  <si>
    <t>생산1팀</t>
    <phoneticPr fontId="4" type="noConversion"/>
  </si>
  <si>
    <t>CTB</t>
    <phoneticPr fontId="4" type="noConversion"/>
  </si>
  <si>
    <t>0~30도 구부리기</t>
  </si>
  <si>
    <t>0~30도 구부리기</t>
    <phoneticPr fontId="4" type="noConversion"/>
  </si>
  <si>
    <t>양호</t>
  </si>
  <si>
    <t>요소작업</t>
    <phoneticPr fontId="4" type="noConversion"/>
  </si>
  <si>
    <t>작업1</t>
    <phoneticPr fontId="4" type="noConversion"/>
  </si>
  <si>
    <t>작업2</t>
    <phoneticPr fontId="4" type="noConversion"/>
  </si>
  <si>
    <t>유성기업 영동공장</t>
    <phoneticPr fontId="4" type="noConversion"/>
  </si>
  <si>
    <t>새움터</t>
    <phoneticPr fontId="4" type="noConversion"/>
  </si>
  <si>
    <t>[손목회전시 강한 힘(중량물)]</t>
    <phoneticPr fontId="4" type="noConversion"/>
  </si>
  <si>
    <t>[출발/정지 반복, 불안정한 자세, 노면불량]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</si>
</sst>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b/>
      <sz val="10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9"/>
      <color rgb="FF000000"/>
      <name val="굴림"/>
      <family val="3"/>
      <charset val="129"/>
    </font>
    <font>
      <sz val="16"/>
      <color rgb="FF000000"/>
      <name val="굴림"/>
      <family val="3"/>
      <charset val="129"/>
    </font>
    <font>
      <sz val="9"/>
      <color rgb="FF000000"/>
      <name val="Malgun Gothic"/>
      <family val="3"/>
      <charset val="129"/>
    </font>
    <font>
      <b/>
      <sz val="12"/>
      <color theme="1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6"/>
      <color rgb="FF000000"/>
      <name val="맑은 고딕"/>
      <family val="3"/>
      <charset val="129"/>
      <scheme val="minor"/>
    </font>
    <font>
      <sz val="8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5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righ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2" fillId="0" borderId="54" xfId="0" applyFont="1" applyBorder="1" applyAlignment="1">
      <alignment horizontal="right" vertical="center" shrinkToFit="1"/>
    </xf>
    <xf numFmtId="0" fontId="2" fillId="0" borderId="50" xfId="0" applyFont="1" applyBorder="1" applyAlignment="1">
      <alignment horizontal="right" vertical="center" shrinkToFit="1"/>
    </xf>
    <xf numFmtId="0" fontId="2" fillId="0" borderId="52" xfId="0" applyFont="1" applyBorder="1" applyAlignment="1">
      <alignment horizontal="right" vertical="center" shrinkToFi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shrinkToFit="1"/>
    </xf>
    <xf numFmtId="0" fontId="2" fillId="0" borderId="1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65" xfId="0" applyFont="1" applyBorder="1">
      <alignment vertical="center"/>
    </xf>
    <xf numFmtId="0" fontId="2" fillId="0" borderId="60" xfId="0" applyFont="1" applyBorder="1" applyAlignment="1">
      <alignment horizontal="left" vertical="center" wrapText="1"/>
    </xf>
    <xf numFmtId="0" fontId="2" fillId="0" borderId="30" xfId="0" applyFont="1" applyBorder="1" applyAlignment="1">
      <alignment vertical="center" wrapText="1"/>
    </xf>
    <xf numFmtId="0" fontId="7" fillId="0" borderId="0" xfId="0" applyFont="1" applyAlignment="1">
      <alignment vertical="center" shrinkToFit="1"/>
    </xf>
    <xf numFmtId="0" fontId="1" fillId="0" borderId="38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wrapText="1" shrinkToFit="1"/>
    </xf>
    <xf numFmtId="0" fontId="1" fillId="0" borderId="42" xfId="0" applyFont="1" applyBorder="1" applyAlignment="1">
      <alignment horizontal="center" vertical="center" wrapText="1" shrinkToFit="1"/>
    </xf>
    <xf numFmtId="0" fontId="2" fillId="0" borderId="64" xfId="0" applyFont="1" applyBorder="1" applyAlignment="1">
      <alignment horizontal="right" vertical="center" wrapText="1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alignment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0" fontId="1" fillId="4" borderId="28" xfId="0" applyFont="1" applyFill="1" applyBorder="1" applyAlignment="1" applyProtection="1">
      <alignment horizontal="center" vertical="center" wrapText="1"/>
      <protection locked="0"/>
    </xf>
    <xf numFmtId="0" fontId="1" fillId="2" borderId="29" xfId="0" applyFont="1" applyFill="1" applyBorder="1" applyAlignment="1" applyProtection="1">
      <alignment horizontal="center" vertical="center" wrapText="1"/>
      <protection locked="0"/>
    </xf>
    <xf numFmtId="0" fontId="13" fillId="2" borderId="30" xfId="0" applyFont="1" applyFill="1" applyBorder="1" applyAlignment="1" applyProtection="1">
      <alignment horizontal="center" vertical="center" wrapText="1"/>
      <protection locked="0"/>
    </xf>
    <xf numFmtId="0" fontId="1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  <protection locked="0" hidden="1"/>
    </xf>
    <xf numFmtId="0" fontId="5" fillId="0" borderId="0" xfId="0" applyFont="1" applyProtection="1">
      <alignment vertical="center"/>
      <protection locked="0"/>
    </xf>
    <xf numFmtId="0" fontId="6" fillId="0" borderId="75" xfId="0" applyFont="1" applyBorder="1" applyAlignment="1" applyProtection="1">
      <alignment horizontal="right" vertical="center" shrinkToFit="1"/>
      <protection locked="0"/>
    </xf>
    <xf numFmtId="0" fontId="2" fillId="0" borderId="75" xfId="0" applyFont="1" applyBorder="1" applyAlignment="1" applyProtection="1">
      <alignment horizontal="center" vertical="center" shrinkToFit="1"/>
      <protection locked="0"/>
    </xf>
    <xf numFmtId="0" fontId="2" fillId="0" borderId="75" xfId="0" applyFont="1" applyBorder="1" applyAlignment="1" applyProtection="1">
      <alignment vertical="center" shrinkToFit="1"/>
      <protection locked="0"/>
    </xf>
    <xf numFmtId="0" fontId="2" fillId="0" borderId="64" xfId="0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left" vertical="center" shrinkToFit="1"/>
      <protection locked="0"/>
    </xf>
    <xf numFmtId="0" fontId="2" fillId="0" borderId="0" xfId="0" applyFont="1" applyAlignment="1" applyProtection="1">
      <alignment horizontal="right" vertic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vertical="center" shrinkToFit="1"/>
      <protection locked="0"/>
    </xf>
    <xf numFmtId="0" fontId="2" fillId="0" borderId="61" xfId="0" applyFont="1" applyBorder="1" applyAlignment="1" applyProtection="1">
      <alignment horizontal="center" vertical="center" shrinkToFit="1"/>
      <protection locked="0"/>
    </xf>
    <xf numFmtId="0" fontId="6" fillId="0" borderId="10" xfId="0" applyFont="1" applyBorder="1" applyAlignment="1" applyProtection="1">
      <alignment horizontal="left" vertical="center" shrinkToFit="1"/>
      <protection locked="0"/>
    </xf>
    <xf numFmtId="0" fontId="6" fillId="0" borderId="10" xfId="0" applyFont="1" applyBorder="1" applyAlignment="1" applyProtection="1">
      <alignment horizontal="right" vertical="center" shrinkToFit="1"/>
      <protection locked="0"/>
    </xf>
    <xf numFmtId="0" fontId="6" fillId="0" borderId="10" xfId="0" applyFont="1" applyBorder="1" applyAlignment="1" applyProtection="1">
      <alignment vertical="center" shrinkToFit="1"/>
      <protection locked="0"/>
    </xf>
    <xf numFmtId="0" fontId="2" fillId="0" borderId="10" xfId="0" applyFont="1" applyBorder="1" applyAlignment="1" applyProtection="1">
      <alignment vertical="center" shrinkToFit="1"/>
      <protection locked="0"/>
    </xf>
    <xf numFmtId="0" fontId="2" fillId="0" borderId="10" xfId="0" applyFont="1" applyBorder="1" applyAlignment="1" applyProtection="1">
      <alignment horizontal="center" vertical="center" shrinkToFit="1"/>
      <protection locked="0"/>
    </xf>
    <xf numFmtId="0" fontId="2" fillId="0" borderId="10" xfId="0" applyFont="1" applyBorder="1" applyAlignment="1" applyProtection="1">
      <alignment horizontal="left" vertical="center" shrinkToFit="1"/>
      <protection locked="0"/>
    </xf>
    <xf numFmtId="0" fontId="2" fillId="0" borderId="63" xfId="0" applyFont="1" applyBorder="1" applyAlignment="1" applyProtection="1">
      <alignment horizontal="center" vertical="center" shrinkToFi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62" xfId="0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shrinkToFit="1"/>
      <protection locked="0"/>
    </xf>
    <xf numFmtId="0" fontId="2" fillId="0" borderId="31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/>
      <protection locked="0" hidden="1"/>
    </xf>
    <xf numFmtId="0" fontId="5" fillId="0" borderId="0" xfId="0" applyFont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76" xfId="0" applyFont="1" applyBorder="1" applyAlignment="1" applyProtection="1">
      <alignment horizontal="center" vertical="center" shrinkToFit="1"/>
      <protection locked="0"/>
    </xf>
    <xf numFmtId="0" fontId="2" fillId="0" borderId="56" xfId="0" applyFont="1" applyBorder="1" applyAlignment="1" applyProtection="1">
      <alignment horizontal="center" vertical="center" shrinkToFit="1"/>
      <protection locked="0"/>
    </xf>
    <xf numFmtId="0" fontId="2" fillId="0" borderId="39" xfId="0" applyFont="1" applyBorder="1" applyAlignment="1" applyProtection="1">
      <alignment horizontal="center" vertical="center" shrinkToFit="1"/>
      <protection locked="0"/>
    </xf>
    <xf numFmtId="0" fontId="8" fillId="0" borderId="65" xfId="0" applyFont="1" applyBorder="1" applyAlignment="1" applyProtection="1">
      <alignment horizontal="left" vertical="center" wrapText="1"/>
      <protection locked="0"/>
    </xf>
    <xf numFmtId="0" fontId="8" fillId="0" borderId="66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8" fillId="0" borderId="65" xfId="0" applyFont="1" applyBorder="1" applyAlignment="1" applyProtection="1">
      <alignment horizontal="center" vertical="center" wrapText="1" shrinkToFit="1"/>
      <protection locked="0"/>
    </xf>
    <xf numFmtId="0" fontId="8" fillId="0" borderId="0" xfId="0" applyFont="1" applyAlignment="1" applyProtection="1">
      <alignment horizontal="center" vertical="center" wrapText="1" shrinkToFit="1"/>
      <protection locked="0"/>
    </xf>
    <xf numFmtId="0" fontId="2" fillId="0" borderId="54" xfId="0" applyFont="1" applyBorder="1" applyAlignment="1" applyProtection="1">
      <alignment vertical="center" shrinkToFit="1"/>
      <protection locked="0"/>
    </xf>
    <xf numFmtId="0" fontId="2" fillId="0" borderId="52" xfId="0" applyFont="1" applyBorder="1" applyAlignment="1" applyProtection="1">
      <alignment vertical="center" shrinkToFit="1"/>
      <protection locked="0"/>
    </xf>
    <xf numFmtId="0" fontId="2" fillId="0" borderId="65" xfId="0" applyFont="1" applyBorder="1" applyAlignment="1" applyProtection="1">
      <alignment horizontal="center" vertical="center" wrapText="1" shrinkToFit="1"/>
      <protection locked="0"/>
    </xf>
    <xf numFmtId="0" fontId="2" fillId="0" borderId="0" xfId="0" applyFont="1" applyAlignment="1" applyProtection="1">
      <alignment horizontal="center" vertical="center" wrapText="1" shrinkToFit="1"/>
      <protection locked="0"/>
    </xf>
    <xf numFmtId="0" fontId="2" fillId="0" borderId="0" xfId="0" applyFont="1" applyAlignment="1" applyProtection="1">
      <alignment horizontal="right" vertical="center" shrinkToFit="1"/>
      <protection locked="0" hidden="1"/>
    </xf>
    <xf numFmtId="0" fontId="2" fillId="0" borderId="60" xfId="0" applyFont="1" applyBorder="1" applyAlignment="1" applyProtection="1">
      <alignment horizontal="center" vertical="center" wrapText="1"/>
      <protection locked="0"/>
    </xf>
    <xf numFmtId="0" fontId="2" fillId="0" borderId="65" xfId="0" applyFont="1" applyBorder="1" applyAlignment="1" applyProtection="1">
      <alignment horizontal="left" vertical="center" shrinkToFit="1"/>
      <protection locked="0"/>
    </xf>
    <xf numFmtId="0" fontId="5" fillId="0" borderId="0" xfId="0" applyFont="1" applyAlignment="1" applyProtection="1">
      <alignment vertical="center" shrinkToFit="1"/>
      <protection locked="0"/>
    </xf>
    <xf numFmtId="0" fontId="2" fillId="0" borderId="66" xfId="0" applyFont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vertical="center" shrinkToFit="1"/>
      <protection locked="0"/>
    </xf>
    <xf numFmtId="0" fontId="16" fillId="4" borderId="27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41" xfId="0" applyFont="1" applyBorder="1" applyAlignment="1" applyProtection="1">
      <alignment horizontal="center" vertical="center" wrapText="1"/>
      <protection locked="0"/>
    </xf>
    <xf numFmtId="0" fontId="1" fillId="0" borderId="42" xfId="0" applyFont="1" applyBorder="1" applyAlignment="1" applyProtection="1">
      <alignment horizontal="center" vertical="center" wrapText="1"/>
      <protection locked="0"/>
    </xf>
    <xf numFmtId="0" fontId="13" fillId="0" borderId="36" xfId="0" applyFont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2" borderId="62" xfId="0" applyFont="1" applyFill="1" applyBorder="1" applyAlignment="1" applyProtection="1">
      <alignment horizontal="center" vertical="center" wrapText="1"/>
      <protection locked="0"/>
    </xf>
    <xf numFmtId="0" fontId="1" fillId="2" borderId="67" xfId="0" applyFont="1" applyFill="1" applyBorder="1" applyAlignment="1" applyProtection="1">
      <alignment horizontal="center" vertical="center" wrapText="1"/>
      <protection locked="0"/>
    </xf>
    <xf numFmtId="0" fontId="1" fillId="2" borderId="68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5" borderId="20" xfId="0" applyFont="1" applyFill="1" applyBorder="1" applyAlignment="1" applyProtection="1">
      <alignment vertical="center" wrapText="1"/>
      <protection locked="0"/>
    </xf>
    <xf numFmtId="0" fontId="1" fillId="4" borderId="26" xfId="0" applyFont="1" applyFill="1" applyBorder="1" applyAlignment="1" applyProtection="1">
      <alignment horizontal="center" vertical="center" wrapText="1"/>
      <protection locked="0"/>
    </xf>
    <xf numFmtId="0" fontId="13" fillId="0" borderId="37" xfId="0" applyFont="1" applyBorder="1" applyAlignment="1">
      <alignment horizontal="center" vertical="center" wrapText="1"/>
    </xf>
    <xf numFmtId="0" fontId="1" fillId="7" borderId="60" xfId="0" applyFont="1" applyFill="1" applyBorder="1" applyAlignment="1" applyProtection="1">
      <alignment horizontal="center" vertical="center" wrapText="1"/>
      <protection locked="0"/>
    </xf>
    <xf numFmtId="0" fontId="1" fillId="7" borderId="3" xfId="0" applyFont="1" applyFill="1" applyBorder="1" applyAlignment="1" applyProtection="1">
      <alignment horizontal="center" vertical="center" wrapText="1"/>
      <protection locked="0"/>
    </xf>
    <xf numFmtId="0" fontId="16" fillId="7" borderId="3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7" fillId="0" borderId="41" xfId="0" applyFont="1" applyBorder="1" applyAlignment="1" applyProtection="1">
      <alignment horizontal="center" vertical="center"/>
      <protection locked="0"/>
    </xf>
    <xf numFmtId="0" fontId="16" fillId="0" borderId="41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>
      <alignment horizontal="center" vertical="center" wrapText="1"/>
    </xf>
    <xf numFmtId="0" fontId="16" fillId="0" borderId="15" xfId="0" applyFont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" fillId="0" borderId="52" xfId="0" applyFont="1" applyBorder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0" fontId="11" fillId="0" borderId="10" xfId="0" applyFont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76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71" xfId="0" applyFont="1" applyFill="1" applyBorder="1" applyAlignment="1">
      <alignment horizontal="center" vertical="center" wrapText="1"/>
    </xf>
    <xf numFmtId="0" fontId="1" fillId="5" borderId="6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61" xfId="0" applyFont="1" applyFill="1" applyBorder="1" applyAlignment="1">
      <alignment horizontal="center" vertical="center" wrapText="1"/>
    </xf>
    <xf numFmtId="0" fontId="1" fillId="5" borderId="66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6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52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2" borderId="29" xfId="0" applyFont="1" applyFill="1" applyBorder="1" applyAlignment="1">
      <alignment horizontal="center" vertical="center" shrinkToFit="1"/>
    </xf>
    <xf numFmtId="0" fontId="1" fillId="2" borderId="64" xfId="0" applyFont="1" applyFill="1" applyBorder="1" applyAlignment="1">
      <alignment horizontal="center" vertical="center" shrinkToFit="1"/>
    </xf>
    <xf numFmtId="0" fontId="1" fillId="2" borderId="66" xfId="0" applyFont="1" applyFill="1" applyBorder="1" applyAlignment="1">
      <alignment horizontal="center" vertical="center" shrinkToFit="1"/>
    </xf>
    <xf numFmtId="0" fontId="1" fillId="2" borderId="63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shrinkToFit="1"/>
    </xf>
    <xf numFmtId="0" fontId="1" fillId="2" borderId="49" xfId="0" applyFont="1" applyFill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14" fontId="1" fillId="0" borderId="31" xfId="0" applyNumberFormat="1" applyFont="1" applyBorder="1" applyAlignment="1">
      <alignment horizontal="center" vertical="center" shrinkToFi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64" xfId="0" applyFont="1" applyFill="1" applyBorder="1" applyAlignment="1">
      <alignment horizontal="center" vertical="center" wrapText="1"/>
    </xf>
    <xf numFmtId="0" fontId="1" fillId="3" borderId="65" xfId="0" applyFont="1" applyFill="1" applyBorder="1" applyAlignment="1">
      <alignment horizontal="center"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9" xfId="0" applyFont="1" applyBorder="1" applyAlignment="1">
      <alignment horizontal="center" vertical="center" shrinkToFi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shrinkToFit="1"/>
    </xf>
    <xf numFmtId="0" fontId="1" fillId="2" borderId="65" xfId="0" applyFont="1" applyFill="1" applyBorder="1" applyAlignment="1">
      <alignment horizontal="center" vertical="center" shrinkToFit="1"/>
    </xf>
    <xf numFmtId="0" fontId="1" fillId="2" borderId="61" xfId="0" applyFont="1" applyFill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3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0" borderId="7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shrinkToFit="1"/>
    </xf>
    <xf numFmtId="0" fontId="2" fillId="3" borderId="31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55" xfId="0" applyFont="1" applyFill="1" applyBorder="1" applyAlignment="1" applyProtection="1">
      <alignment horizontal="center" vertical="center" wrapText="1"/>
      <protection locked="0"/>
    </xf>
    <xf numFmtId="0" fontId="1" fillId="2" borderId="58" xfId="0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0" fontId="6" fillId="0" borderId="75" xfId="0" applyFont="1" applyBorder="1" applyAlignment="1" applyProtection="1">
      <alignment horizontal="left" vertical="center" shrinkToFit="1"/>
      <protection locked="0"/>
    </xf>
    <xf numFmtId="0" fontId="2" fillId="0" borderId="0" xfId="0" applyFont="1" applyAlignment="1" applyProtection="1">
      <alignment horizontal="left" vertical="center" shrinkToFit="1"/>
      <protection locked="0"/>
    </xf>
    <xf numFmtId="0" fontId="6" fillId="0" borderId="10" xfId="0" applyFont="1" applyBorder="1" applyAlignment="1" applyProtection="1">
      <alignment horizontal="left" vertical="center" shrinkToFit="1"/>
      <protection locked="0"/>
    </xf>
    <xf numFmtId="0" fontId="1" fillId="0" borderId="6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shrinkToFit="1"/>
      <protection locked="0"/>
    </xf>
    <xf numFmtId="0" fontId="2" fillId="0" borderId="14" xfId="0" applyFont="1" applyBorder="1" applyAlignment="1" applyProtection="1">
      <alignment horizontal="center" vertical="center" shrinkToFit="1"/>
      <protection locked="0"/>
    </xf>
    <xf numFmtId="0" fontId="2" fillId="0" borderId="30" xfId="0" applyFont="1" applyBorder="1" applyAlignment="1" applyProtection="1">
      <alignment horizontal="center" vertical="center" shrinkToFi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  <xf numFmtId="0" fontId="2" fillId="0" borderId="53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  <xf numFmtId="0" fontId="6" fillId="0" borderId="75" xfId="0" applyFont="1" applyBorder="1" applyAlignment="1" applyProtection="1">
      <alignment horizontal="center" vertical="center" shrinkToFit="1"/>
      <protection locked="0"/>
    </xf>
    <xf numFmtId="0" fontId="2" fillId="0" borderId="75" xfId="0" applyFont="1" applyBorder="1" applyAlignment="1" applyProtection="1">
      <alignment horizontal="left" vertic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right" vertical="center" shrinkToFit="1"/>
      <protection locked="0"/>
    </xf>
    <xf numFmtId="0" fontId="6" fillId="0" borderId="10" xfId="0" applyFont="1" applyBorder="1" applyAlignment="1" applyProtection="1">
      <alignment horizontal="center" vertical="center" shrinkToFit="1"/>
      <protection locked="0"/>
    </xf>
    <xf numFmtId="0" fontId="2" fillId="0" borderId="10" xfId="0" applyFont="1" applyBorder="1" applyAlignment="1" applyProtection="1">
      <alignment horizontal="center" vertical="center" shrinkToFit="1"/>
      <protection locked="0"/>
    </xf>
    <xf numFmtId="0" fontId="2" fillId="0" borderId="75" xfId="0" applyFont="1" applyBorder="1" applyAlignment="1" applyProtection="1">
      <alignment horizontal="center" vertical="center" shrinkToFit="1"/>
      <protection locked="0"/>
    </xf>
    <xf numFmtId="49" fontId="1" fillId="0" borderId="74" xfId="0" applyNumberFormat="1" applyFont="1" applyBorder="1" applyAlignment="1" applyProtection="1">
      <alignment horizontal="center" vertical="center" shrinkToFit="1"/>
      <protection locked="0"/>
    </xf>
    <xf numFmtId="49" fontId="1" fillId="0" borderId="69" xfId="0" applyNumberFormat="1" applyFont="1" applyBorder="1" applyAlignment="1" applyProtection="1">
      <alignment horizontal="center" vertical="center" shrinkToFit="1"/>
      <protection locked="0"/>
    </xf>
    <xf numFmtId="0" fontId="3" fillId="2" borderId="26" xfId="0" applyFont="1" applyFill="1" applyBorder="1" applyAlignment="1" applyProtection="1">
      <alignment horizontal="center" vertical="center" wrapText="1"/>
      <protection locked="0"/>
    </xf>
    <xf numFmtId="0" fontId="3" fillId="2" borderId="27" xfId="0" applyFont="1" applyFill="1" applyBorder="1" applyAlignment="1" applyProtection="1">
      <alignment horizontal="center" vertical="center" wrapText="1"/>
      <protection locked="0"/>
    </xf>
    <xf numFmtId="0" fontId="3" fillId="2" borderId="28" xfId="0" applyFont="1" applyFill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6" borderId="22" xfId="0" applyFont="1" applyFill="1" applyBorder="1" applyAlignment="1" applyProtection="1">
      <alignment horizontal="center" vertical="center" shrinkToFit="1"/>
      <protection locked="0"/>
    </xf>
    <xf numFmtId="0" fontId="2" fillId="6" borderId="17" xfId="0" applyFont="1" applyFill="1" applyBorder="1" applyAlignment="1" applyProtection="1">
      <alignment horizontal="center" vertical="center" shrinkToFit="1"/>
      <protection locked="0"/>
    </xf>
    <xf numFmtId="0" fontId="5" fillId="0" borderId="13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left" vertical="center" wrapText="1"/>
      <protection locked="0"/>
    </xf>
    <xf numFmtId="0" fontId="2" fillId="0" borderId="75" xfId="0" applyFont="1" applyBorder="1" applyAlignment="1" applyProtection="1">
      <alignment horizontal="left" vertical="center" wrapText="1"/>
      <protection locked="0"/>
    </xf>
    <xf numFmtId="0" fontId="2" fillId="0" borderId="73" xfId="0" applyFont="1" applyBorder="1" applyAlignment="1" applyProtection="1">
      <alignment horizontal="left" vertical="center" wrapText="1"/>
      <protection locked="0"/>
    </xf>
    <xf numFmtId="0" fontId="2" fillId="0" borderId="51" xfId="0" applyFont="1" applyBorder="1" applyAlignment="1" applyProtection="1">
      <alignment horizontal="center" vertical="center" wrapText="1"/>
      <protection locked="0"/>
    </xf>
    <xf numFmtId="0" fontId="2" fillId="0" borderId="44" xfId="0" applyFont="1" applyBorder="1" applyAlignment="1" applyProtection="1">
      <alignment horizontal="center" vertical="center" wrapText="1"/>
      <protection locked="0"/>
    </xf>
    <xf numFmtId="0" fontId="1" fillId="2" borderId="33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1" fillId="2" borderId="74" xfId="0" applyFont="1" applyFill="1" applyBorder="1" applyAlignment="1" applyProtection="1">
      <alignment horizontal="center" vertical="center" wrapText="1"/>
      <protection locked="0"/>
    </xf>
    <xf numFmtId="0" fontId="1" fillId="2" borderId="69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>
      <alignment horizontal="center" vertical="center" shrinkToFit="1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0" fontId="1" fillId="2" borderId="44" xfId="0" applyFont="1" applyFill="1" applyBorder="1" applyAlignment="1" applyProtection="1">
      <alignment horizontal="center" vertical="center" wrapText="1"/>
      <protection locked="0"/>
    </xf>
    <xf numFmtId="0" fontId="1" fillId="4" borderId="55" xfId="0" applyFont="1" applyFill="1" applyBorder="1" applyAlignment="1" applyProtection="1">
      <alignment horizontal="center" vertical="center" wrapText="1"/>
      <protection locked="0"/>
    </xf>
    <xf numFmtId="0" fontId="1" fillId="4" borderId="58" xfId="0" applyFont="1" applyFill="1" applyBorder="1" applyAlignment="1" applyProtection="1">
      <alignment horizontal="center" vertical="center" wrapText="1"/>
      <protection locked="0"/>
    </xf>
    <xf numFmtId="0" fontId="1" fillId="4" borderId="39" xfId="0" applyFont="1" applyFill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22" xfId="0" applyFont="1" applyBorder="1" applyAlignment="1" applyProtection="1">
      <alignment horizontal="center" vertical="center" shrinkToFit="1"/>
      <protection locked="0"/>
    </xf>
    <xf numFmtId="0" fontId="2" fillId="0" borderId="17" xfId="0" applyFont="1" applyBorder="1" applyAlignment="1" applyProtection="1">
      <alignment horizontal="center" vertical="center" shrinkToFit="1"/>
      <protection locked="0"/>
    </xf>
    <xf numFmtId="0" fontId="2" fillId="6" borderId="43" xfId="0" applyFont="1" applyFill="1" applyBorder="1" applyAlignment="1">
      <alignment horizontal="center" vertical="center" shrinkToFit="1"/>
    </xf>
    <xf numFmtId="0" fontId="2" fillId="6" borderId="41" xfId="0" applyFont="1" applyFill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73" xfId="0" applyFont="1" applyBorder="1" applyAlignment="1" applyProtection="1">
      <alignment horizontal="center" vertical="center" wrapText="1"/>
      <protection locked="0"/>
    </xf>
    <xf numFmtId="0" fontId="2" fillId="0" borderId="59" xfId="0" applyFont="1" applyBorder="1" applyAlignment="1" applyProtection="1">
      <alignment horizontal="center" vertical="center" wrapText="1"/>
      <protection locked="0"/>
    </xf>
    <xf numFmtId="0" fontId="2" fillId="0" borderId="57" xfId="0" applyFont="1" applyBorder="1" applyAlignment="1" applyProtection="1">
      <alignment horizontal="center" vertical="center" wrapText="1"/>
      <protection locked="0"/>
    </xf>
    <xf numFmtId="0" fontId="2" fillId="0" borderId="58" xfId="0" applyFont="1" applyBorder="1" applyAlignment="1" applyProtection="1">
      <alignment horizontal="center" vertical="center" wrapText="1"/>
      <protection locked="0"/>
    </xf>
    <xf numFmtId="0" fontId="5" fillId="0" borderId="32" xfId="0" applyFont="1" applyBorder="1" applyAlignment="1" applyProtection="1">
      <alignment horizontal="center" vertical="center" shrinkToFit="1"/>
      <protection locked="0"/>
    </xf>
    <xf numFmtId="0" fontId="5" fillId="0" borderId="53" xfId="0" applyFont="1" applyBorder="1" applyAlignment="1" applyProtection="1">
      <alignment horizontal="center" vertical="center" shrinkToFit="1"/>
      <protection locked="0"/>
    </xf>
    <xf numFmtId="0" fontId="5" fillId="0" borderId="24" xfId="0" applyFont="1" applyBorder="1" applyAlignment="1" applyProtection="1">
      <alignment horizontal="center" vertical="center" shrinkToFit="1"/>
      <protection locked="0"/>
    </xf>
    <xf numFmtId="0" fontId="5" fillId="0" borderId="11" xfId="0" applyFont="1" applyBorder="1" applyAlignment="1" applyProtection="1">
      <alignment horizontal="center" vertical="center" shrinkToFit="1"/>
      <protection locked="0"/>
    </xf>
    <xf numFmtId="0" fontId="2" fillId="0" borderId="32" xfId="0" applyFont="1" applyBorder="1" applyAlignment="1" applyProtection="1">
      <alignment horizontal="center" vertical="center" shrinkToFit="1"/>
      <protection locked="0"/>
    </xf>
    <xf numFmtId="0" fontId="2" fillId="0" borderId="53" xfId="0" applyFont="1" applyBorder="1" applyAlignment="1" applyProtection="1">
      <alignment horizontal="center" vertical="center" shrinkToFit="1"/>
      <protection locked="0"/>
    </xf>
    <xf numFmtId="0" fontId="2" fillId="0" borderId="24" xfId="0" applyFont="1" applyBorder="1" applyAlignment="1" applyProtection="1">
      <alignment horizontal="center" vertical="center" shrinkToFit="1"/>
      <protection locked="0"/>
    </xf>
    <xf numFmtId="0" fontId="2" fillId="0" borderId="11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shrinkToFi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/>
      <protection locked="0" hidden="1"/>
    </xf>
    <xf numFmtId="0" fontId="9" fillId="0" borderId="55" xfId="0" applyFont="1" applyBorder="1" applyAlignment="1">
      <alignment horizontal="center" vertical="center" shrinkToFit="1"/>
    </xf>
    <xf numFmtId="0" fontId="9" fillId="0" borderId="58" xfId="0" applyFont="1" applyBorder="1" applyAlignment="1">
      <alignment horizontal="center" vertical="center" shrinkToFit="1"/>
    </xf>
    <xf numFmtId="0" fontId="9" fillId="0" borderId="39" xfId="0" applyFont="1" applyBorder="1" applyAlignment="1">
      <alignment horizontal="center" vertical="center" shrinkToFit="1"/>
    </xf>
    <xf numFmtId="0" fontId="2" fillId="0" borderId="51" xfId="0" applyFont="1" applyBorder="1" applyAlignment="1" applyProtection="1">
      <alignment horizontal="center" vertical="center" shrinkToFit="1"/>
      <protection locked="0"/>
    </xf>
    <xf numFmtId="0" fontId="2" fillId="0" borderId="50" xfId="0" applyFont="1" applyBorder="1" applyAlignment="1" applyProtection="1">
      <alignment horizontal="center" vertical="center" shrinkToFit="1"/>
      <protection locked="0"/>
    </xf>
    <xf numFmtId="0" fontId="2" fillId="0" borderId="77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center" vertical="center" wrapText="1"/>
      <protection locked="0"/>
    </xf>
    <xf numFmtId="0" fontId="9" fillId="0" borderId="78" xfId="0" applyFont="1" applyBorder="1" applyAlignment="1">
      <alignment horizontal="center" vertical="center" shrinkToFit="1"/>
    </xf>
    <xf numFmtId="0" fontId="9" fillId="0" borderId="50" xfId="0" applyFont="1" applyBorder="1" applyAlignment="1">
      <alignment horizontal="center" vertical="center" shrinkToFit="1"/>
    </xf>
    <xf numFmtId="0" fontId="9" fillId="0" borderId="52" xfId="0" applyFont="1" applyBorder="1" applyAlignment="1">
      <alignment horizontal="center" vertical="center" shrinkToFit="1"/>
    </xf>
    <xf numFmtId="0" fontId="2" fillId="0" borderId="55" xfId="0" applyFont="1" applyBorder="1" applyAlignment="1" applyProtection="1">
      <alignment horizontal="center" vertical="center" wrapText="1"/>
      <protection locked="0"/>
    </xf>
    <xf numFmtId="0" fontId="2" fillId="0" borderId="3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left" vertical="center" shrinkToFit="1"/>
      <protection locked="0"/>
    </xf>
    <xf numFmtId="0" fontId="2" fillId="0" borderId="73" xfId="0" applyFont="1" applyBorder="1" applyAlignment="1" applyProtection="1">
      <alignment horizontal="left" vertical="center" shrinkToFit="1"/>
      <protection locked="0"/>
    </xf>
    <xf numFmtId="0" fontId="2" fillId="0" borderId="10" xfId="0" applyFont="1" applyBorder="1" applyAlignment="1" applyProtection="1">
      <alignment horizontal="left" vertical="center" shrinkToFit="1"/>
      <protection locked="0"/>
    </xf>
    <xf numFmtId="0" fontId="2" fillId="0" borderId="11" xfId="0" applyFont="1" applyBorder="1" applyAlignment="1">
      <alignment horizontal="center" vertical="center" shrinkToFit="1"/>
    </xf>
    <xf numFmtId="0" fontId="2" fillId="0" borderId="0" xfId="0" applyFont="1" applyAlignment="1" applyProtection="1">
      <alignment horizontal="left" vertical="center" wrapText="1" shrinkToFit="1"/>
      <protection locked="0"/>
    </xf>
    <xf numFmtId="0" fontId="8" fillId="0" borderId="77" xfId="0" applyFont="1" applyBorder="1" applyAlignment="1" applyProtection="1">
      <alignment horizontal="center" vertical="center" wrapText="1"/>
      <protection locked="0"/>
    </xf>
    <xf numFmtId="0" fontId="8" fillId="0" borderId="30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>
      <alignment horizontal="center" vertical="center" shrinkToFit="1"/>
    </xf>
    <xf numFmtId="0" fontId="8" fillId="0" borderId="55" xfId="0" applyFont="1" applyBorder="1" applyAlignment="1" applyProtection="1">
      <alignment horizontal="center" vertical="center" wrapText="1"/>
      <protection locked="0"/>
    </xf>
    <xf numFmtId="0" fontId="8" fillId="0" borderId="5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left" vertical="center" wrapText="1" shrinkToFi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4" borderId="62" xfId="0" applyFont="1" applyFill="1" applyBorder="1" applyAlignment="1" applyProtection="1">
      <alignment horizontal="center" vertical="center" wrapText="1"/>
      <protection locked="0"/>
    </xf>
    <xf numFmtId="0" fontId="1" fillId="4" borderId="67" xfId="0" applyFont="1" applyFill="1" applyBorder="1" applyAlignment="1" applyProtection="1">
      <alignment horizontal="center" vertical="center" wrapText="1"/>
      <protection locked="0"/>
    </xf>
    <xf numFmtId="0" fontId="1" fillId="4" borderId="68" xfId="0" applyFont="1" applyFill="1" applyBorder="1" applyAlignment="1" applyProtection="1">
      <alignment horizontal="center" vertical="center" wrapText="1"/>
      <protection locked="0"/>
    </xf>
    <xf numFmtId="0" fontId="5" fillId="0" borderId="4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6" borderId="43" xfId="0" applyFont="1" applyFill="1" applyBorder="1" applyAlignment="1">
      <alignment horizontal="center" vertical="center" shrinkToFit="1"/>
    </xf>
    <xf numFmtId="0" fontId="5" fillId="6" borderId="41" xfId="0" applyFont="1" applyFill="1" applyBorder="1" applyAlignment="1">
      <alignment horizontal="center" vertical="center" shrinkToFi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8" fillId="0" borderId="72" xfId="0" applyFont="1" applyBorder="1" applyAlignment="1" applyProtection="1">
      <alignment horizontal="left" vertical="center" wrapText="1" shrinkToFit="1"/>
      <protection locked="0"/>
    </xf>
    <xf numFmtId="0" fontId="2" fillId="0" borderId="44" xfId="0" applyFont="1" applyBorder="1" applyAlignment="1" applyProtection="1">
      <alignment horizontal="left" vertical="center" shrinkToFit="1"/>
      <protection locked="0"/>
    </xf>
    <xf numFmtId="0" fontId="2" fillId="0" borderId="33" xfId="0" applyFont="1" applyBorder="1" applyAlignment="1" applyProtection="1">
      <alignment horizontal="left" vertical="center" shrinkToFit="1"/>
      <protection locked="0"/>
    </xf>
    <xf numFmtId="0" fontId="2" fillId="0" borderId="53" xfId="0" applyFont="1" applyBorder="1" applyAlignment="1" applyProtection="1">
      <alignment horizontal="left" vertical="center" shrinkToFit="1"/>
      <protection locked="0"/>
    </xf>
    <xf numFmtId="0" fontId="2" fillId="0" borderId="6" xfId="0" applyFont="1" applyBorder="1" applyAlignment="1" applyProtection="1">
      <alignment horizontal="left" vertical="center" shrinkToFit="1"/>
      <protection locked="0"/>
    </xf>
    <xf numFmtId="0" fontId="2" fillId="0" borderId="15" xfId="0" applyFont="1" applyBorder="1" applyAlignment="1" applyProtection="1">
      <alignment horizontal="left" vertical="center" shrinkToFit="1"/>
      <protection locked="0"/>
    </xf>
    <xf numFmtId="0" fontId="2" fillId="0" borderId="11" xfId="0" applyFont="1" applyBorder="1" applyAlignment="1" applyProtection="1">
      <alignment horizontal="left" vertical="center" shrinkToFit="1"/>
      <protection locked="0"/>
    </xf>
    <xf numFmtId="0" fontId="9" fillId="0" borderId="57" xfId="0" applyFont="1" applyBorder="1" applyAlignment="1">
      <alignment horizontal="center" vertical="center" shrinkToFit="1"/>
    </xf>
    <xf numFmtId="0" fontId="15" fillId="0" borderId="77" xfId="0" applyFont="1" applyBorder="1" applyAlignment="1" applyProtection="1">
      <alignment horizontal="center" vertical="center" wrapText="1"/>
      <protection locked="0"/>
    </xf>
    <xf numFmtId="0" fontId="15" fillId="0" borderId="30" xfId="0" applyFont="1" applyBorder="1" applyAlignment="1" applyProtection="1">
      <alignment horizontal="center" vertical="center" wrapText="1"/>
      <protection locked="0"/>
    </xf>
    <xf numFmtId="0" fontId="2" fillId="0" borderId="45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 shrinkToFit="1"/>
    </xf>
    <xf numFmtId="0" fontId="8" fillId="0" borderId="0" xfId="0" applyFont="1" applyAlignment="1" applyProtection="1">
      <alignment horizontal="left" vertical="center" shrinkToFit="1"/>
      <protection locked="0"/>
    </xf>
    <xf numFmtId="0" fontId="5" fillId="0" borderId="30" xfId="0" applyFont="1" applyBorder="1" applyAlignment="1" applyProtection="1">
      <alignment horizontal="center" vertical="center" shrinkToFit="1"/>
      <protection locked="0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0" fontId="5" fillId="0" borderId="50" xfId="0" applyFont="1" applyBorder="1" applyAlignment="1" applyProtection="1">
      <alignment horizontal="center" vertical="center" shrinkToFit="1"/>
      <protection locked="0"/>
    </xf>
    <xf numFmtId="0" fontId="2" fillId="0" borderId="1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44" xfId="0" applyFont="1" applyBorder="1" applyAlignment="1" applyProtection="1">
      <alignment vertical="center" shrinkToFit="1"/>
      <protection locked="0"/>
    </xf>
    <xf numFmtId="0" fontId="2" fillId="0" borderId="33" xfId="0" applyFont="1" applyBorder="1" applyAlignment="1" applyProtection="1">
      <alignment vertical="center" shrinkToFit="1"/>
      <protection locked="0"/>
    </xf>
    <xf numFmtId="0" fontId="2" fillId="0" borderId="53" xfId="0" applyFont="1" applyBorder="1" applyAlignment="1" applyProtection="1">
      <alignment vertical="center" shrinkToFit="1"/>
      <protection locked="0"/>
    </xf>
    <xf numFmtId="0" fontId="2" fillId="0" borderId="6" xfId="0" applyFont="1" applyBorder="1" applyAlignment="1" applyProtection="1">
      <alignment vertical="center" shrinkToFit="1"/>
      <protection locked="0"/>
    </xf>
    <xf numFmtId="0" fontId="2" fillId="0" borderId="15" xfId="0" applyFont="1" applyBorder="1" applyAlignment="1" applyProtection="1">
      <alignment vertical="center" shrinkToFit="1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5" fillId="0" borderId="51" xfId="0" applyFont="1" applyBorder="1" applyAlignment="1" applyProtection="1">
      <alignment horizontal="center" vertical="center" shrinkToFi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52" xfId="0" applyFont="1" applyBorder="1" applyAlignment="1" applyProtection="1">
      <alignment horizontal="center" vertical="center" wrapText="1"/>
      <protection locked="0"/>
    </xf>
    <xf numFmtId="0" fontId="1" fillId="2" borderId="62" xfId="0" applyFont="1" applyFill="1" applyBorder="1" applyAlignment="1" applyProtection="1">
      <alignment horizontal="center" vertical="center" wrapText="1"/>
      <protection locked="0"/>
    </xf>
    <xf numFmtId="0" fontId="1" fillId="2" borderId="67" xfId="0" applyFont="1" applyFill="1" applyBorder="1" applyAlignment="1" applyProtection="1">
      <alignment horizontal="center" vertical="center" wrapText="1"/>
      <protection locked="0"/>
    </xf>
    <xf numFmtId="0" fontId="1" fillId="2" borderId="68" xfId="0" applyFont="1" applyFill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7" borderId="3" xfId="0" applyFont="1" applyFill="1" applyBorder="1" applyAlignment="1" applyProtection="1">
      <alignment horizontal="center" vertical="center" wrapText="1"/>
      <protection locked="0"/>
    </xf>
    <xf numFmtId="0" fontId="1" fillId="7" borderId="4" xfId="0" applyFont="1" applyFill="1" applyBorder="1" applyAlignment="1" applyProtection="1">
      <alignment horizontal="center" vertical="center" wrapText="1"/>
      <protection locked="0"/>
    </xf>
    <xf numFmtId="0" fontId="1" fillId="7" borderId="49" xfId="0" applyFont="1" applyFill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78" xfId="0" applyFont="1" applyBorder="1" applyAlignment="1" applyProtection="1">
      <alignment horizontal="center" vertical="center" wrapText="1"/>
      <protection locked="0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54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35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35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49" fontId="1" fillId="0" borderId="27" xfId="0" applyNumberFormat="1" applyFont="1" applyBorder="1" applyAlignment="1">
      <alignment horizontal="center"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 applyProtection="1">
      <alignment horizontal="center" vertical="center" wrapText="1"/>
      <protection locked="0"/>
    </xf>
    <xf numFmtId="0" fontId="3" fillId="2" borderId="33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3" fillId="2" borderId="37" xfId="0" applyFont="1" applyFill="1" applyBorder="1" applyAlignment="1" applyProtection="1">
      <alignment horizontal="center" vertical="center" wrapText="1"/>
      <protection locked="0"/>
    </xf>
    <xf numFmtId="0" fontId="1" fillId="2" borderId="22" xfId="0" applyFon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 applyProtection="1">
      <alignment horizontal="center" vertical="center" wrapText="1"/>
      <protection locked="0"/>
    </xf>
    <xf numFmtId="14" fontId="13" fillId="0" borderId="11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" fillId="0" borderId="70" xfId="0" applyFont="1" applyBorder="1" applyAlignment="1" applyProtection="1">
      <alignment horizontal="center" vertical="center" wrapText="1"/>
      <protection locked="0"/>
    </xf>
    <xf numFmtId="0" fontId="1" fillId="0" borderId="80" xfId="0" applyFont="1" applyBorder="1" applyAlignment="1" applyProtection="1">
      <alignment horizontal="center" vertical="center" wrapText="1"/>
      <protection locked="0"/>
    </xf>
    <xf numFmtId="0" fontId="1" fillId="0" borderId="79" xfId="0" applyFont="1" applyBorder="1" applyAlignment="1" applyProtection="1">
      <alignment horizontal="center" vertical="center" wrapText="1"/>
      <protection locked="0"/>
    </xf>
    <xf numFmtId="0" fontId="1" fillId="2" borderId="70" xfId="0" applyFont="1" applyFill="1" applyBorder="1" applyAlignment="1" applyProtection="1">
      <alignment horizontal="center" vertical="center" wrapText="1"/>
      <protection locked="0"/>
    </xf>
    <xf numFmtId="0" fontId="1" fillId="2" borderId="40" xfId="0" applyFont="1" applyFill="1" applyBorder="1" applyAlignment="1" applyProtection="1">
      <alignment horizontal="center" vertical="center" wrapText="1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1" fillId="0" borderId="41" xfId="0" applyFont="1" applyBorder="1" applyAlignment="1" applyProtection="1">
      <alignment horizontal="justify" vertical="top" wrapText="1"/>
      <protection locked="0"/>
    </xf>
    <xf numFmtId="0" fontId="1" fillId="0" borderId="42" xfId="0" applyFont="1" applyBorder="1" applyAlignment="1" applyProtection="1">
      <alignment horizontal="justify" vertical="top" wrapText="1"/>
      <protection locked="0"/>
    </xf>
    <xf numFmtId="0" fontId="12" fillId="0" borderId="51" xfId="0" applyFont="1" applyBorder="1" applyAlignment="1" applyProtection="1">
      <alignment horizontal="center" vertical="center" wrapText="1"/>
      <protection locked="0"/>
    </xf>
    <xf numFmtId="0" fontId="12" fillId="0" borderId="50" xfId="0" applyFont="1" applyBorder="1" applyAlignment="1" applyProtection="1">
      <alignment horizontal="center" vertical="center" wrapText="1"/>
      <protection locked="0"/>
    </xf>
    <xf numFmtId="0" fontId="12" fillId="0" borderId="30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31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3" fillId="0" borderId="15" xfId="0" applyFont="1" applyBorder="1" applyAlignment="1" applyProtection="1">
      <alignment horizontal="center" vertical="center" wrapText="1"/>
      <protection locked="0"/>
    </xf>
    <xf numFmtId="0" fontId="13" fillId="0" borderId="25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3" fillId="2" borderId="34" xfId="0" applyFont="1" applyFill="1" applyBorder="1" applyAlignment="1" applyProtection="1">
      <alignment horizontal="center" vertical="center" wrapText="1"/>
      <protection locked="0"/>
    </xf>
    <xf numFmtId="0" fontId="1" fillId="4" borderId="28" xfId="0" applyFont="1" applyFill="1" applyBorder="1" applyAlignment="1" applyProtection="1">
      <alignment horizontal="center" vertical="center" wrapText="1"/>
      <protection locked="0"/>
    </xf>
    <xf numFmtId="14" fontId="13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48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63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justify" vertical="center" wrapText="1"/>
      <protection locked="0"/>
    </xf>
    <xf numFmtId="0" fontId="12" fillId="0" borderId="28" xfId="0" applyFont="1" applyBorder="1" applyAlignment="1" applyProtection="1">
      <alignment horizontal="justify" vertical="center" wrapText="1"/>
      <protection locked="0"/>
    </xf>
    <xf numFmtId="0" fontId="1" fillId="2" borderId="53" xfId="0" applyFont="1" applyFill="1" applyBorder="1" applyAlignment="1" applyProtection="1">
      <alignment horizontal="center" vertical="center" wrapText="1"/>
      <protection locked="0"/>
    </xf>
    <xf numFmtId="0" fontId="1" fillId="2" borderId="54" xfId="0" applyFont="1" applyFill="1" applyBorder="1" applyAlignment="1" applyProtection="1">
      <alignment horizontal="center" vertical="center" wrapText="1"/>
      <protection locked="0"/>
    </xf>
    <xf numFmtId="0" fontId="1" fillId="2" borderId="4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52" xfId="0" applyFont="1" applyBorder="1" applyAlignment="1" applyProtection="1">
      <alignment horizontal="center" vertical="center" wrapText="1"/>
      <protection locked="0"/>
    </xf>
    <xf numFmtId="0" fontId="2" fillId="0" borderId="40" xfId="0" applyFont="1" applyBorder="1" applyAlignment="1" applyProtection="1">
      <alignment horizontal="center" vertical="center" wrapText="1"/>
      <protection locked="0"/>
    </xf>
    <xf numFmtId="0" fontId="2" fillId="0" borderId="47" xfId="0" applyFont="1" applyBorder="1" applyAlignment="1" applyProtection="1">
      <alignment horizontal="center" vertical="center" wrapText="1"/>
      <protection locked="0"/>
    </xf>
    <xf numFmtId="0" fontId="2" fillId="0" borderId="46" xfId="0" applyFont="1" applyBorder="1" applyAlignment="1" applyProtection="1">
      <alignment horizontal="center" vertical="center" wrapText="1"/>
      <protection locked="0"/>
    </xf>
    <xf numFmtId="0" fontId="1" fillId="0" borderId="80" xfId="0" applyFont="1" applyBorder="1" applyAlignment="1" applyProtection="1">
      <alignment horizontal="justify" vertical="top" wrapText="1"/>
      <protection locked="0"/>
    </xf>
    <xf numFmtId="0" fontId="1" fillId="0" borderId="79" xfId="0" applyFont="1" applyBorder="1" applyAlignment="1" applyProtection="1">
      <alignment horizontal="justify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fmlaLink="$X$46" lockText="1" noThreeD="1"/>
</file>

<file path=xl/ctrlProps/ctrlProp40.xml><?xml version="1.0" encoding="utf-8"?>
<formControlPr xmlns="http://schemas.microsoft.com/office/spreadsheetml/2009/9/main" objectType="CheckBox" fmlaLink="$X$45" lockText="1" noThreeD="1"/>
</file>

<file path=xl/ctrlProps/ctrlProp41.xml><?xml version="1.0" encoding="utf-8"?>
<formControlPr xmlns="http://schemas.microsoft.com/office/spreadsheetml/2009/9/main" objectType="CheckBox" fmlaLink="$X$57" lockText="1" noThreeD="1"/>
</file>

<file path=xl/ctrlProps/ctrlProp42.xml><?xml version="1.0" encoding="utf-8"?>
<formControlPr xmlns="http://schemas.microsoft.com/office/spreadsheetml/2009/9/main" objectType="CheckBox" fmlaLink="$X$56" lockText="1" noThreeD="1"/>
</file>

<file path=xl/ctrlProps/ctrlProp43.xml><?xml version="1.0" encoding="utf-8"?>
<formControlPr xmlns="http://schemas.microsoft.com/office/spreadsheetml/2009/9/main" objectType="CheckBox" fmlaLink="$X$16" lockText="1" noThreeD="1"/>
</file>

<file path=xl/ctrlProps/ctrlProp44.xml><?xml version="1.0" encoding="utf-8"?>
<formControlPr xmlns="http://schemas.microsoft.com/office/spreadsheetml/2009/9/main" objectType="CheckBox" fmlaLink="$X$17" lockText="1" noThreeD="1"/>
</file>

<file path=xl/ctrlProps/ctrlProp45.xml><?xml version="1.0" encoding="utf-8"?>
<formControlPr xmlns="http://schemas.microsoft.com/office/spreadsheetml/2009/9/main" objectType="CheckBox" fmlaLink="$Y$18" lockText="1" noThreeD="1"/>
</file>

<file path=xl/ctrlProps/ctrlProp46.xml><?xml version="1.0" encoding="utf-8"?>
<formControlPr xmlns="http://schemas.microsoft.com/office/spreadsheetml/2009/9/main" objectType="CheckBox" fmlaLink="$Y$16" lockText="1" noThreeD="1"/>
</file>

<file path=xl/ctrlProps/ctrlProp47.xml><?xml version="1.0" encoding="utf-8"?>
<formControlPr xmlns="http://schemas.microsoft.com/office/spreadsheetml/2009/9/main" objectType="CheckBox" fmlaLink="$Y$17" lockText="1" noThreeD="1"/>
</file>

<file path=xl/ctrlProps/ctrlProp48.xml><?xml version="1.0" encoding="utf-8"?>
<formControlPr xmlns="http://schemas.microsoft.com/office/spreadsheetml/2009/9/main" objectType="CheckBox" fmlaLink="$X$18" lockText="1" noThreeD="1"/>
</file>

<file path=xl/ctrlProps/ctrlProp49.xml><?xml version="1.0" encoding="utf-8"?>
<formControlPr xmlns="http://schemas.microsoft.com/office/spreadsheetml/2009/9/main" objectType="CheckBox" fmlaLink="$Z$16" lockText="1" noThreeD="1"/>
</file>

<file path=xl/ctrlProps/ctrlProp50.xml><?xml version="1.0" encoding="utf-8"?>
<formControlPr xmlns="http://schemas.microsoft.com/office/spreadsheetml/2009/9/main" objectType="CheckBox" fmlaLink="$Z$17" lockText="1" noThreeD="1"/>
</file>

<file path=xl/ctrlProps/ctrlProp51.xml><?xml version="1.0" encoding="utf-8"?>
<formControlPr xmlns="http://schemas.microsoft.com/office/spreadsheetml/2009/9/main" objectType="CheckBox" fmlaLink="$X$25" lockText="1" noThreeD="1"/>
</file>

<file path=xl/ctrlProps/ctrlProp52.xml><?xml version="1.0" encoding="utf-8"?>
<formControlPr xmlns="http://schemas.microsoft.com/office/spreadsheetml/2009/9/main" objectType="CheckBox" fmlaLink="$X$26" lockText="1" noThreeD="1"/>
</file>

<file path=xl/ctrlProps/ctrlProp53.xml><?xml version="1.0" encoding="utf-8"?>
<formControlPr xmlns="http://schemas.microsoft.com/office/spreadsheetml/2009/9/main" objectType="CheckBox" fmlaLink="$Y$25" lockText="1" noThreeD="1"/>
</file>

<file path=xl/ctrlProps/ctrlProp54.xml><?xml version="1.0" encoding="utf-8"?>
<formControlPr xmlns="http://schemas.microsoft.com/office/spreadsheetml/2009/9/main" objectType="CheckBox" fmlaLink="$Y$26" lockText="1" noThreeD="1"/>
</file>

<file path=xl/ctrlProps/ctrlProp55.xml><?xml version="1.0" encoding="utf-8"?>
<formControlPr xmlns="http://schemas.microsoft.com/office/spreadsheetml/2009/9/main" objectType="CheckBox" fmlaLink="$Z$25" lockText="1" noThreeD="1"/>
</file>

<file path=xl/ctrlProps/ctrlProp56.xml><?xml version="1.0" encoding="utf-8"?>
<formControlPr xmlns="http://schemas.microsoft.com/office/spreadsheetml/2009/9/main" objectType="CheckBox" fmlaLink="$Z$26" lockText="1" noThreeD="1"/>
</file>

<file path=xl/ctrlProps/ctrlProp57.xml><?xml version="1.0" encoding="utf-8"?>
<formControlPr xmlns="http://schemas.microsoft.com/office/spreadsheetml/2009/9/main" objectType="CheckBox" fmlaLink="$X$33" lockText="1" noThreeD="1"/>
</file>

<file path=xl/ctrlProps/ctrlProp58.xml><?xml version="1.0" encoding="utf-8"?>
<formControlPr xmlns="http://schemas.microsoft.com/office/spreadsheetml/2009/9/main" objectType="CheckBox" fmlaLink="$X$34" lockText="1" noThreeD="1"/>
</file>

<file path=xl/ctrlProps/ctrlProp59.xml><?xml version="1.0" encoding="utf-8"?>
<formControlPr xmlns="http://schemas.microsoft.com/office/spreadsheetml/2009/9/main" objectType="CheckBox" fmlaLink="$X$35" lockText="1" noThreeD="1"/>
</file>

<file path=xl/ctrlProps/ctrlProp60.xml><?xml version="1.0" encoding="utf-8"?>
<formControlPr xmlns="http://schemas.microsoft.com/office/spreadsheetml/2009/9/main" objectType="CheckBox" fmlaLink="$X$36" lockText="1" noThreeD="1"/>
</file>

<file path=xl/ctrlProps/ctrlProp61.xml><?xml version="1.0" encoding="utf-8"?>
<formControlPr xmlns="http://schemas.microsoft.com/office/spreadsheetml/2009/9/main" objectType="CheckBox" fmlaLink="$Y$33" lockText="1" noThreeD="1"/>
</file>

<file path=xl/ctrlProps/ctrlProp62.xml><?xml version="1.0" encoding="utf-8"?>
<formControlPr xmlns="http://schemas.microsoft.com/office/spreadsheetml/2009/9/main" objectType="CheckBox" fmlaLink="$Y$34" lockText="1" noThreeD="1"/>
</file>

<file path=xl/ctrlProps/ctrlProp63.xml><?xml version="1.0" encoding="utf-8"?>
<formControlPr xmlns="http://schemas.microsoft.com/office/spreadsheetml/2009/9/main" objectType="CheckBox" fmlaLink="$Y$35" lockText="1" noThreeD="1"/>
</file>

<file path=xl/ctrlProps/ctrlProp64.xml><?xml version="1.0" encoding="utf-8"?>
<formControlPr xmlns="http://schemas.microsoft.com/office/spreadsheetml/2009/9/main" objectType="CheckBox" fmlaLink="$Y$36" lockText="1" noThreeD="1"/>
</file>

<file path=xl/ctrlProps/ctrlProp65.xml><?xml version="1.0" encoding="utf-8"?>
<formControlPr xmlns="http://schemas.microsoft.com/office/spreadsheetml/2009/9/main" objectType="CheckBox" fmlaLink="$Z$33" lockText="1" noThreeD="1"/>
</file>

<file path=xl/ctrlProps/ctrlProp66.xml><?xml version="1.0" encoding="utf-8"?>
<formControlPr xmlns="http://schemas.microsoft.com/office/spreadsheetml/2009/9/main" objectType="CheckBox" fmlaLink="$Z$35" lockText="1" noThreeD="1"/>
</file>

<file path=xl/ctrlProps/ctrlProp67.xml><?xml version="1.0" encoding="utf-8"?>
<formControlPr xmlns="http://schemas.microsoft.com/office/spreadsheetml/2009/9/main" objectType="CheckBox" fmlaLink="$Z$34" lockText="1" noThreeD="1"/>
</file>

<file path=xl/ctrlProps/ctrlProp68.xml><?xml version="1.0" encoding="utf-8"?>
<formControlPr xmlns="http://schemas.microsoft.com/office/spreadsheetml/2009/9/main" objectType="CheckBox" fmlaLink="$X$43" lockText="1" noThreeD="1"/>
</file>

<file path=xl/ctrlProps/ctrlProp69.xml><?xml version="1.0" encoding="utf-8"?>
<formControlPr xmlns="http://schemas.microsoft.com/office/spreadsheetml/2009/9/main" objectType="CheckBox" fmlaLink="$X$44" lockText="1" noThreeD="1"/>
</file>

<file path=xl/ctrlProps/ctrlProp70.xml><?xml version="1.0" encoding="utf-8"?>
<formControlPr xmlns="http://schemas.microsoft.com/office/spreadsheetml/2009/9/main" objectType="CheckBox" fmlaLink="$Y$43" lockText="1" noThreeD="1"/>
</file>

<file path=xl/ctrlProps/ctrlProp71.xml><?xml version="1.0" encoding="utf-8"?>
<formControlPr xmlns="http://schemas.microsoft.com/office/spreadsheetml/2009/9/main" objectType="CheckBox" fmlaLink="$Y$44" lockText="1" noThreeD="1"/>
</file>

<file path=xl/ctrlProps/ctrlProp72.xml><?xml version="1.0" encoding="utf-8"?>
<formControlPr xmlns="http://schemas.microsoft.com/office/spreadsheetml/2009/9/main" objectType="CheckBox" fmlaLink="$X$53" lockText="1" noThreeD="1"/>
</file>

<file path=xl/ctrlProps/ctrlProp73.xml><?xml version="1.0" encoding="utf-8"?>
<formControlPr xmlns="http://schemas.microsoft.com/office/spreadsheetml/2009/9/main" objectType="CheckBox" fmlaLink="$X$54" lockText="1" noThreeD="1"/>
</file>

<file path=xl/ctrlProps/ctrlProp74.xml><?xml version="1.0" encoding="utf-8"?>
<formControlPr xmlns="http://schemas.microsoft.com/office/spreadsheetml/2009/9/main" objectType="CheckBox" fmlaLink="$X$55" lockText="1" noThreeD="1"/>
</file>

<file path=xl/ctrlProps/ctrlProp75.xml><?xml version="1.0" encoding="utf-8"?>
<formControlPr xmlns="http://schemas.microsoft.com/office/spreadsheetml/2009/9/main" objectType="CheckBox" fmlaLink="$Y$53" lockText="1" noThreeD="1"/>
</file>

<file path=xl/ctrlProps/ctrlProp76.xml><?xml version="1.0" encoding="utf-8"?>
<formControlPr xmlns="http://schemas.microsoft.com/office/spreadsheetml/2009/9/main" objectType="CheckBox" fmlaLink="$Y$54" lockText="1" noThreeD="1"/>
</file>

<file path=xl/ctrlProps/ctrlProp77.xml><?xml version="1.0" encoding="utf-8"?>
<formControlPr xmlns="http://schemas.microsoft.com/office/spreadsheetml/2009/9/main" objectType="CheckBox" fmlaLink="$Y$55" lockText="1" noThreeD="1"/>
</file>

<file path=xl/ctrlProps/ctrlProp78.xml><?xml version="1.0" encoding="utf-8"?>
<formControlPr xmlns="http://schemas.microsoft.com/office/spreadsheetml/2009/9/main" objectType="CheckBox" fmlaLink="$Z$54" lockText="1" noThreeD="1"/>
</file>

<file path=xl/ctrlProps/ctrlProp79.xml><?xml version="1.0" encoding="utf-8"?>
<formControlPr xmlns="http://schemas.microsoft.com/office/spreadsheetml/2009/9/main" objectType="CheckBox" fmlaLink="$Z$55" lockText="1" noThreeD="1"/>
</file>

<file path=xl/ctrlProps/ctrlProp80.xml><?xml version="1.0" encoding="utf-8"?>
<formControlPr xmlns="http://schemas.microsoft.com/office/spreadsheetml/2009/9/main" objectType="CheckBox" fmlaLink="$X$64" lockText="1" noThreeD="1"/>
</file>

<file path=xl/ctrlProps/ctrlProp81.xml><?xml version="1.0" encoding="utf-8"?>
<formControlPr xmlns="http://schemas.microsoft.com/office/spreadsheetml/2009/9/main" objectType="CheckBox" fmlaLink="$X$65" lockText="1" noThreeD="1"/>
</file>

<file path=xl/ctrlProps/ctrlProp82.xml><?xml version="1.0" encoding="utf-8"?>
<formControlPr xmlns="http://schemas.microsoft.com/office/spreadsheetml/2009/9/main" objectType="CheckBox" fmlaLink="$X$66" lockText="1" noThreeD="1"/>
</file>

<file path=xl/ctrlProps/ctrlProp83.xml><?xml version="1.0" encoding="utf-8"?>
<formControlPr xmlns="http://schemas.microsoft.com/office/spreadsheetml/2009/9/main" objectType="CheckBox" fmlaLink="$Y$64" lockText="1" noThreeD="1"/>
</file>

<file path=xl/ctrlProps/ctrlProp84.xml><?xml version="1.0" encoding="utf-8"?>
<formControlPr xmlns="http://schemas.microsoft.com/office/spreadsheetml/2009/9/main" objectType="CheckBox" fmlaLink="$Y$66" lockText="1" noThreeD="1"/>
</file>

<file path=xl/ctrlProps/ctrlProp85.xml><?xml version="1.0" encoding="utf-8"?>
<formControlPr xmlns="http://schemas.microsoft.com/office/spreadsheetml/2009/9/main" objectType="CheckBox" fmlaLink="$Y$65" lockText="1" noThreeD="1"/>
</file>

<file path=xl/ctrlProps/ctrlProp86.xml><?xml version="1.0" encoding="utf-8"?>
<formControlPr xmlns="http://schemas.microsoft.com/office/spreadsheetml/2009/9/main" objectType="CheckBox" fmlaLink="$Z$65" lockText="1" noThreeD="1"/>
</file>

<file path=xl/ctrlProps/ctrlProp87.xml><?xml version="1.0" encoding="utf-8"?>
<formControlPr xmlns="http://schemas.microsoft.com/office/spreadsheetml/2009/9/main" objectType="CheckBox" fmlaLink="$N$6" lockText="1" noThreeD="1"/>
</file>

<file path=xl/ctrlProps/ctrlProp88.xml><?xml version="1.0" encoding="utf-8"?>
<formControlPr xmlns="http://schemas.microsoft.com/office/spreadsheetml/2009/9/main" objectType="CheckBox" fmlaLink="$N$7" lockText="1" noThreeD="1"/>
</file>

<file path=xl/ctrlProps/ctrlProp89.xml><?xml version="1.0" encoding="utf-8"?>
<formControlPr xmlns="http://schemas.microsoft.com/office/spreadsheetml/2009/9/main" objectType="CheckBox" fmlaLink="$N$9" lockText="1" noThreeD="1"/>
</file>

<file path=xl/ctrlProps/ctrlProp90.xml><?xml version="1.0" encoding="utf-8"?>
<formControlPr xmlns="http://schemas.microsoft.com/office/spreadsheetml/2009/9/main" objectType="CheckBox" fmlaLink="$N$8" lockText="1" noThreeD="1"/>
</file>

<file path=xl/ctrlProps/ctrlProp91.xml><?xml version="1.0" encoding="utf-8"?>
<formControlPr xmlns="http://schemas.microsoft.com/office/spreadsheetml/2009/9/main" objectType="CheckBox" fmlaLink="$X$46" lockText="1" noThreeD="1"/>
</file>

<file path=xl/ctrlProps/ctrlProp92.xml><?xml version="1.0" encoding="utf-8"?>
<formControlPr xmlns="http://schemas.microsoft.com/office/spreadsheetml/2009/9/main" objectType="CheckBox" fmlaLink="$X$45" lockText="1" noThreeD="1"/>
</file>

<file path=xl/ctrlProps/ctrlProp93.xml><?xml version="1.0" encoding="utf-8"?>
<formControlPr xmlns="http://schemas.microsoft.com/office/spreadsheetml/2009/9/main" objectType="CheckBox" fmlaLink="$X$57" lockText="1" noThreeD="1"/>
</file>

<file path=xl/ctrlProps/ctrlProp94.xml><?xml version="1.0" encoding="utf-8"?>
<formControlPr xmlns="http://schemas.microsoft.com/office/spreadsheetml/2009/9/main" objectType="CheckBox" fmlaLink="$X$56" lockText="1" noThreeD="1"/>
</file>

<file path=xl/ctrlProps/ctrlProp95.xml><?xml version="1.0" encoding="utf-8"?>
<formControlPr xmlns="http://schemas.microsoft.com/office/spreadsheetml/2009/9/main" objectType="CheckBox" fmlaLink="$X$16" lockText="1" noThreeD="1"/>
</file>

<file path=xl/ctrlProps/ctrlProp96.xml><?xml version="1.0" encoding="utf-8"?>
<formControlPr xmlns="http://schemas.microsoft.com/office/spreadsheetml/2009/9/main" objectType="CheckBox" fmlaLink="$X$17" lockText="1" noThreeD="1"/>
</file>

<file path=xl/ctrlProps/ctrlProp97.xml><?xml version="1.0" encoding="utf-8"?>
<formControlPr xmlns="http://schemas.microsoft.com/office/spreadsheetml/2009/9/main" objectType="CheckBox" fmlaLink="$Y$18" lockText="1" noThreeD="1"/>
</file>

<file path=xl/ctrlProps/ctrlProp98.xml><?xml version="1.0" encoding="utf-8"?>
<formControlPr xmlns="http://schemas.microsoft.com/office/spreadsheetml/2009/9/main" objectType="CheckBox" fmlaLink="$Y$16" lockText="1" noThreeD="1"/>
</file>

<file path=xl/ctrlProps/ctrlProp99.xml><?xml version="1.0" encoding="utf-8"?>
<formControlPr xmlns="http://schemas.microsoft.com/office/spreadsheetml/2009/9/main" objectType="CheckBox" fmlaLink="$Y$17" lockText="1" noThreeD="1"/>
</file>

<file path=xl/ctrlProps/ctrlProp100.xml><?xml version="1.0" encoding="utf-8"?>
<formControlPr xmlns="http://schemas.microsoft.com/office/spreadsheetml/2009/9/main" objectType="CheckBox" fmlaLink="$X$18" lockText="1" noThreeD="1"/>
</file>

<file path=xl/ctrlProps/ctrlProp101.xml><?xml version="1.0" encoding="utf-8"?>
<formControlPr xmlns="http://schemas.microsoft.com/office/spreadsheetml/2009/9/main" objectType="CheckBox" fmlaLink="$Z$16" lockText="1" noThreeD="1"/>
</file>

<file path=xl/ctrlProps/ctrlProp102.xml><?xml version="1.0" encoding="utf-8"?>
<formControlPr xmlns="http://schemas.microsoft.com/office/spreadsheetml/2009/9/main" objectType="CheckBox" fmlaLink="$Z$17" lockText="1" noThreeD="1"/>
</file>

<file path=xl/ctrlProps/ctrlProp103.xml><?xml version="1.0" encoding="utf-8"?>
<formControlPr xmlns="http://schemas.microsoft.com/office/spreadsheetml/2009/9/main" objectType="CheckBox" fmlaLink="$X$25" lockText="1" noThreeD="1"/>
</file>

<file path=xl/ctrlProps/ctrlProp104.xml><?xml version="1.0" encoding="utf-8"?>
<formControlPr xmlns="http://schemas.microsoft.com/office/spreadsheetml/2009/9/main" objectType="CheckBox" fmlaLink="$X$26" lockText="1" noThreeD="1"/>
</file>

<file path=xl/ctrlProps/ctrlProp105.xml><?xml version="1.0" encoding="utf-8"?>
<formControlPr xmlns="http://schemas.microsoft.com/office/spreadsheetml/2009/9/main" objectType="CheckBox" fmlaLink="$Y$25" lockText="1" noThreeD="1"/>
</file>

<file path=xl/ctrlProps/ctrlProp106.xml><?xml version="1.0" encoding="utf-8"?>
<formControlPr xmlns="http://schemas.microsoft.com/office/spreadsheetml/2009/9/main" objectType="CheckBox" fmlaLink="$Y$26" lockText="1" noThreeD="1"/>
</file>

<file path=xl/ctrlProps/ctrlProp107.xml><?xml version="1.0" encoding="utf-8"?>
<formControlPr xmlns="http://schemas.microsoft.com/office/spreadsheetml/2009/9/main" objectType="CheckBox" fmlaLink="$Z$25" lockText="1" noThreeD="1"/>
</file>

<file path=xl/ctrlProps/ctrlProp108.xml><?xml version="1.0" encoding="utf-8"?>
<formControlPr xmlns="http://schemas.microsoft.com/office/spreadsheetml/2009/9/main" objectType="CheckBox" fmlaLink="$Z$26" lockText="1" noThreeD="1"/>
</file>

<file path=xl/ctrlProps/ctrlProp109.xml><?xml version="1.0" encoding="utf-8"?>
<formControlPr xmlns="http://schemas.microsoft.com/office/spreadsheetml/2009/9/main" objectType="CheckBox" fmlaLink="$X$33" lockText="1" noThreeD="1"/>
</file>

<file path=xl/ctrlProps/ctrlProp110.xml><?xml version="1.0" encoding="utf-8"?>
<formControlPr xmlns="http://schemas.microsoft.com/office/spreadsheetml/2009/9/main" objectType="CheckBox" fmlaLink="$X$34" lockText="1" noThreeD="1"/>
</file>

<file path=xl/ctrlProps/ctrlProp111.xml><?xml version="1.0" encoding="utf-8"?>
<formControlPr xmlns="http://schemas.microsoft.com/office/spreadsheetml/2009/9/main" objectType="CheckBox" fmlaLink="$X$35" lockText="1" noThreeD="1"/>
</file>

<file path=xl/ctrlProps/ctrlProp112.xml><?xml version="1.0" encoding="utf-8"?>
<formControlPr xmlns="http://schemas.microsoft.com/office/spreadsheetml/2009/9/main" objectType="CheckBox" fmlaLink="$X$36" lockText="1" noThreeD="1"/>
</file>

<file path=xl/ctrlProps/ctrlProp113.xml><?xml version="1.0" encoding="utf-8"?>
<formControlPr xmlns="http://schemas.microsoft.com/office/spreadsheetml/2009/9/main" objectType="CheckBox" fmlaLink="$Y$33" lockText="1" noThreeD="1"/>
</file>

<file path=xl/ctrlProps/ctrlProp114.xml><?xml version="1.0" encoding="utf-8"?>
<formControlPr xmlns="http://schemas.microsoft.com/office/spreadsheetml/2009/9/main" objectType="CheckBox" fmlaLink="$Y$34" lockText="1" noThreeD="1"/>
</file>

<file path=xl/ctrlProps/ctrlProp115.xml><?xml version="1.0" encoding="utf-8"?>
<formControlPr xmlns="http://schemas.microsoft.com/office/spreadsheetml/2009/9/main" objectType="CheckBox" fmlaLink="$Y$35" lockText="1" noThreeD="1"/>
</file>

<file path=xl/ctrlProps/ctrlProp116.xml><?xml version="1.0" encoding="utf-8"?>
<formControlPr xmlns="http://schemas.microsoft.com/office/spreadsheetml/2009/9/main" objectType="CheckBox" fmlaLink="$Y$36" lockText="1" noThreeD="1"/>
</file>

<file path=xl/ctrlProps/ctrlProp117.xml><?xml version="1.0" encoding="utf-8"?>
<formControlPr xmlns="http://schemas.microsoft.com/office/spreadsheetml/2009/9/main" objectType="CheckBox" fmlaLink="$Z$33" lockText="1" noThreeD="1"/>
</file>

<file path=xl/ctrlProps/ctrlProp118.xml><?xml version="1.0" encoding="utf-8"?>
<formControlPr xmlns="http://schemas.microsoft.com/office/spreadsheetml/2009/9/main" objectType="CheckBox" fmlaLink="$Z$35" lockText="1" noThreeD="1"/>
</file>

<file path=xl/ctrlProps/ctrlProp119.xml><?xml version="1.0" encoding="utf-8"?>
<formControlPr xmlns="http://schemas.microsoft.com/office/spreadsheetml/2009/9/main" objectType="CheckBox" fmlaLink="$Z$34" lockText="1" noThreeD="1"/>
</file>

<file path=xl/ctrlProps/ctrlProp120.xml><?xml version="1.0" encoding="utf-8"?>
<formControlPr xmlns="http://schemas.microsoft.com/office/spreadsheetml/2009/9/main" objectType="CheckBox" fmlaLink="$X$43" lockText="1" noThreeD="1"/>
</file>

<file path=xl/ctrlProps/ctrlProp121.xml><?xml version="1.0" encoding="utf-8"?>
<formControlPr xmlns="http://schemas.microsoft.com/office/spreadsheetml/2009/9/main" objectType="CheckBox" fmlaLink="$X$44" lockText="1" noThreeD="1"/>
</file>

<file path=xl/ctrlProps/ctrlProp122.xml><?xml version="1.0" encoding="utf-8"?>
<formControlPr xmlns="http://schemas.microsoft.com/office/spreadsheetml/2009/9/main" objectType="CheckBox" fmlaLink="$Y$43" lockText="1" noThreeD="1"/>
</file>

<file path=xl/ctrlProps/ctrlProp123.xml><?xml version="1.0" encoding="utf-8"?>
<formControlPr xmlns="http://schemas.microsoft.com/office/spreadsheetml/2009/9/main" objectType="CheckBox" fmlaLink="$Y$44" lockText="1" noThreeD="1"/>
</file>

<file path=xl/ctrlProps/ctrlProp124.xml><?xml version="1.0" encoding="utf-8"?>
<formControlPr xmlns="http://schemas.microsoft.com/office/spreadsheetml/2009/9/main" objectType="CheckBox" fmlaLink="$X$53" lockText="1" noThreeD="1"/>
</file>

<file path=xl/ctrlProps/ctrlProp125.xml><?xml version="1.0" encoding="utf-8"?>
<formControlPr xmlns="http://schemas.microsoft.com/office/spreadsheetml/2009/9/main" objectType="CheckBox" fmlaLink="$X$54" lockText="1" noThreeD="1"/>
</file>

<file path=xl/ctrlProps/ctrlProp126.xml><?xml version="1.0" encoding="utf-8"?>
<formControlPr xmlns="http://schemas.microsoft.com/office/spreadsheetml/2009/9/main" objectType="CheckBox" fmlaLink="$X$55" lockText="1" noThreeD="1"/>
</file>

<file path=xl/ctrlProps/ctrlProp127.xml><?xml version="1.0" encoding="utf-8"?>
<formControlPr xmlns="http://schemas.microsoft.com/office/spreadsheetml/2009/9/main" objectType="CheckBox" fmlaLink="$Y$53" lockText="1" noThreeD="1"/>
</file>

<file path=xl/ctrlProps/ctrlProp128.xml><?xml version="1.0" encoding="utf-8"?>
<formControlPr xmlns="http://schemas.microsoft.com/office/spreadsheetml/2009/9/main" objectType="CheckBox" fmlaLink="$Y$54" lockText="1" noThreeD="1"/>
</file>

<file path=xl/ctrlProps/ctrlProp129.xml><?xml version="1.0" encoding="utf-8"?>
<formControlPr xmlns="http://schemas.microsoft.com/office/spreadsheetml/2009/9/main" objectType="CheckBox" fmlaLink="$Y$55" lockText="1" noThreeD="1"/>
</file>

<file path=xl/ctrlProps/ctrlProp130.xml><?xml version="1.0" encoding="utf-8"?>
<formControlPr xmlns="http://schemas.microsoft.com/office/spreadsheetml/2009/9/main" objectType="CheckBox" fmlaLink="$Z$54" lockText="1" noThreeD="1"/>
</file>

<file path=xl/ctrlProps/ctrlProp131.xml><?xml version="1.0" encoding="utf-8"?>
<formControlPr xmlns="http://schemas.microsoft.com/office/spreadsheetml/2009/9/main" objectType="CheckBox" fmlaLink="$Z$55" lockText="1" noThreeD="1"/>
</file>

<file path=xl/ctrlProps/ctrlProp132.xml><?xml version="1.0" encoding="utf-8"?>
<formControlPr xmlns="http://schemas.microsoft.com/office/spreadsheetml/2009/9/main" objectType="CheckBox" fmlaLink="$X$64" lockText="1" noThreeD="1"/>
</file>

<file path=xl/ctrlProps/ctrlProp133.xml><?xml version="1.0" encoding="utf-8"?>
<formControlPr xmlns="http://schemas.microsoft.com/office/spreadsheetml/2009/9/main" objectType="CheckBox" fmlaLink="$X$65" lockText="1" noThreeD="1"/>
</file>

<file path=xl/ctrlProps/ctrlProp134.xml><?xml version="1.0" encoding="utf-8"?>
<formControlPr xmlns="http://schemas.microsoft.com/office/spreadsheetml/2009/9/main" objectType="CheckBox" fmlaLink="$X$66" lockText="1" noThreeD="1"/>
</file>

<file path=xl/ctrlProps/ctrlProp135.xml><?xml version="1.0" encoding="utf-8"?>
<formControlPr xmlns="http://schemas.microsoft.com/office/spreadsheetml/2009/9/main" objectType="CheckBox" fmlaLink="$Y$64" lockText="1" noThreeD="1"/>
</file>

<file path=xl/ctrlProps/ctrlProp136.xml><?xml version="1.0" encoding="utf-8"?>
<formControlPr xmlns="http://schemas.microsoft.com/office/spreadsheetml/2009/9/main" objectType="CheckBox" fmlaLink="$Y$66" lockText="1" noThreeD="1"/>
</file>

<file path=xl/ctrlProps/ctrlProp137.xml><?xml version="1.0" encoding="utf-8"?>
<formControlPr xmlns="http://schemas.microsoft.com/office/spreadsheetml/2009/9/main" objectType="CheckBox" fmlaLink="$Y$65" lockText="1" noThreeD="1"/>
</file>

<file path=xl/ctrlProps/ctrlProp138.xml><?xml version="1.0" encoding="utf-8"?>
<formControlPr xmlns="http://schemas.microsoft.com/office/spreadsheetml/2009/9/main" objectType="CheckBox" fmlaLink="$Z$65" lockText="1" noThreeD="1"/>
</file>

<file path=xl/ctrlProps/ctrlProp139.xml><?xml version="1.0" encoding="utf-8"?>
<formControlPr xmlns="http://schemas.microsoft.com/office/spreadsheetml/2009/9/main" objectType="CheckBox" fmlaLink="$N$6" lockText="1" noThreeD="1"/>
</file>

<file path=xl/ctrlProps/ctrlProp140.xml><?xml version="1.0" encoding="utf-8"?>
<formControlPr xmlns="http://schemas.microsoft.com/office/spreadsheetml/2009/9/main" objectType="CheckBox" fmlaLink="$N$7" lockText="1" noThreeD="1"/>
</file>

<file path=xl/ctrlProps/ctrlProp141.xml><?xml version="1.0" encoding="utf-8"?>
<formControlPr xmlns="http://schemas.microsoft.com/office/spreadsheetml/2009/9/main" objectType="CheckBox" fmlaLink="$N$9" lockText="1" noThreeD="1"/>
</file>

<file path=xl/ctrlProps/ctrlProp142.xml><?xml version="1.0" encoding="utf-8"?>
<formControlPr xmlns="http://schemas.microsoft.com/office/spreadsheetml/2009/9/main" objectType="CheckBox" fmlaLink="$N$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10</xdr:row>
          <xdr:rowOff>0</xdr:rowOff>
        </xdr:from>
        <xdr:to>
          <xdr:col>10</xdr:col>
          <xdr:colOff>47625</xdr:colOff>
          <xdr:row>11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885825</xdr:colOff>
          <xdr:row>5</xdr:row>
          <xdr:rowOff>38100</xdr:rowOff>
        </xdr:from>
        <xdr:to>
          <xdr:col>3</xdr:col>
          <xdr:colOff>19050</xdr:colOff>
          <xdr:row>5</xdr:row>
          <xdr:rowOff>209550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</xdr:row>
          <xdr:rowOff>266700</xdr:rowOff>
        </xdr:from>
        <xdr:to>
          <xdr:col>10</xdr:col>
          <xdr:colOff>142875</xdr:colOff>
          <xdr:row>6</xdr:row>
          <xdr:rowOff>9525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수시조사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4</xdr:row>
          <xdr:rowOff>266700</xdr:rowOff>
        </xdr:from>
        <xdr:to>
          <xdr:col>15</xdr:col>
          <xdr:colOff>57150</xdr:colOff>
          <xdr:row>6</xdr:row>
          <xdr:rowOff>9525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질환자발생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161925</xdr:colOff>
          <xdr:row>4</xdr:row>
          <xdr:rowOff>266700</xdr:rowOff>
        </xdr:from>
        <xdr:to>
          <xdr:col>19</xdr:col>
          <xdr:colOff>123825</xdr:colOff>
          <xdr:row>6</xdr:row>
          <xdr:rowOff>9525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설비변화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4</xdr:row>
          <xdr:rowOff>266700</xdr:rowOff>
        </xdr:from>
        <xdr:to>
          <xdr:col>24</xdr:col>
          <xdr:colOff>133350</xdr:colOff>
          <xdr:row>6</xdr:row>
          <xdr:rowOff>9525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작업방법변경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114300</xdr:colOff>
          <xdr:row>4</xdr:row>
          <xdr:rowOff>266700</xdr:rowOff>
        </xdr:from>
        <xdr:to>
          <xdr:col>27</xdr:col>
          <xdr:colOff>95250</xdr:colOff>
          <xdr:row>6</xdr:row>
          <xdr:rowOff>9525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기타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171450</xdr:colOff>
          <xdr:row>10</xdr:row>
          <xdr:rowOff>0</xdr:rowOff>
        </xdr:from>
        <xdr:to>
          <xdr:col>19</xdr:col>
          <xdr:colOff>47625</xdr:colOff>
          <xdr:row>11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11</xdr:row>
          <xdr:rowOff>0</xdr:rowOff>
        </xdr:from>
        <xdr:to>
          <xdr:col>9</xdr:col>
          <xdr:colOff>57150</xdr:colOff>
          <xdr:row>12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171450</xdr:colOff>
          <xdr:row>11</xdr:row>
          <xdr:rowOff>0</xdr:rowOff>
        </xdr:from>
        <xdr:to>
          <xdr:col>15</xdr:col>
          <xdr:colOff>47625</xdr:colOff>
          <xdr:row>12</xdr:row>
          <xdr:rowOff>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11</xdr:row>
          <xdr:rowOff>0</xdr:rowOff>
        </xdr:from>
        <xdr:to>
          <xdr:col>20</xdr:col>
          <xdr:colOff>47625</xdr:colOff>
          <xdr:row>12</xdr:row>
          <xdr:rowOff>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180975</xdr:colOff>
          <xdr:row>11</xdr:row>
          <xdr:rowOff>0</xdr:rowOff>
        </xdr:from>
        <xdr:to>
          <xdr:col>25</xdr:col>
          <xdr:colOff>47625</xdr:colOff>
          <xdr:row>12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3</xdr:col>
          <xdr:colOff>57150</xdr:colOff>
          <xdr:row>18</xdr:row>
          <xdr:rowOff>247650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18</xdr:row>
          <xdr:rowOff>0</xdr:rowOff>
        </xdr:from>
        <xdr:to>
          <xdr:col>20</xdr:col>
          <xdr:colOff>47625</xdr:colOff>
          <xdr:row>19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</xdr:row>
          <xdr:rowOff>0</xdr:rowOff>
        </xdr:from>
        <xdr:to>
          <xdr:col>9</xdr:col>
          <xdr:colOff>57150</xdr:colOff>
          <xdr:row>19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18</xdr:row>
          <xdr:rowOff>0</xdr:rowOff>
        </xdr:from>
        <xdr:to>
          <xdr:col>12</xdr:col>
          <xdr:colOff>47625</xdr:colOff>
          <xdr:row>19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18</xdr:row>
          <xdr:rowOff>0</xdr:rowOff>
        </xdr:from>
        <xdr:to>
          <xdr:col>15</xdr:col>
          <xdr:colOff>57150</xdr:colOff>
          <xdr:row>19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57150</xdr:colOff>
          <xdr:row>18</xdr:row>
          <xdr:rowOff>247650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24</xdr:col>
          <xdr:colOff>47625</xdr:colOff>
          <xdr:row>19</xdr:row>
          <xdr:rowOff>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57150</xdr:colOff>
          <xdr:row>20</xdr:row>
          <xdr:rowOff>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167640</xdr:colOff>
          <xdr:row>20</xdr:row>
          <xdr:rowOff>0</xdr:rowOff>
        </xdr:from>
        <xdr:to>
          <xdr:col>10</xdr:col>
          <xdr:colOff>45720</xdr:colOff>
          <xdr:row>25</xdr:row>
          <xdr:rowOff>0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2415540" y="7515225"/>
              <a:ext cx="240030" cy="1285875"/>
              <a:chOff x="2484120" y="7856220"/>
              <a:chExt cx="243840" cy="1295400"/>
            </a:xfrm>
          </xdr:grpSpPr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2484120" y="785622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2484120" y="811530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2484120" y="837438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2484120" y="863346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2484120" y="889254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167640</xdr:colOff>
          <xdr:row>20</xdr:row>
          <xdr:rowOff>0</xdr:rowOff>
        </xdr:from>
        <xdr:to>
          <xdr:col>15</xdr:col>
          <xdr:colOff>45720</xdr:colOff>
          <xdr:row>25</xdr:row>
          <xdr:rowOff>0</xdr:rowOff>
        </xdr:to>
        <xdr:grpSp>
          <xdr:nvGrpSpPr>
            <xdr:cNvPr id="4" name="그룹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3320415" y="7515225"/>
              <a:ext cx="240030" cy="1285875"/>
              <a:chOff x="3581400" y="7856220"/>
              <a:chExt cx="243840" cy="1295400"/>
            </a:xfrm>
          </xdr:grpSpPr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3581400" y="785622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7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3581400" y="811530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3581400" y="837438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3581400" y="863346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0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3581400" y="8892540"/>
                <a:ext cx="24384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12</xdr:row>
          <xdr:rowOff>9525</xdr:rowOff>
        </xdr:from>
        <xdr:to>
          <xdr:col>8</xdr:col>
          <xdr:colOff>142875</xdr:colOff>
          <xdr:row>13</xdr:row>
          <xdr:rowOff>9525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13</xdr:row>
          <xdr:rowOff>9525</xdr:rowOff>
        </xdr:from>
        <xdr:to>
          <xdr:col>8</xdr:col>
          <xdr:colOff>142875</xdr:colOff>
          <xdr:row>14</xdr:row>
          <xdr:rowOff>9525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14</xdr:row>
          <xdr:rowOff>9525</xdr:rowOff>
        </xdr:from>
        <xdr:to>
          <xdr:col>8</xdr:col>
          <xdr:colOff>142875</xdr:colOff>
          <xdr:row>15</xdr:row>
          <xdr:rowOff>9525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19</xdr:row>
          <xdr:rowOff>0</xdr:rowOff>
        </xdr:from>
        <xdr:to>
          <xdr:col>7</xdr:col>
          <xdr:colOff>57150</xdr:colOff>
          <xdr:row>20</xdr:row>
          <xdr:rowOff>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171450</xdr:colOff>
          <xdr:row>19</xdr:row>
          <xdr:rowOff>0</xdr:rowOff>
        </xdr:from>
        <xdr:to>
          <xdr:col>13</xdr:col>
          <xdr:colOff>57150</xdr:colOff>
          <xdr:row>20</xdr:row>
          <xdr:rowOff>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18</xdr:row>
          <xdr:rowOff>247650</xdr:rowOff>
        </xdr:from>
        <xdr:to>
          <xdr:col>18</xdr:col>
          <xdr:colOff>57150</xdr:colOff>
          <xdr:row>19</xdr:row>
          <xdr:rowOff>247650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19</xdr:row>
          <xdr:rowOff>0</xdr:rowOff>
        </xdr:from>
        <xdr:to>
          <xdr:col>20</xdr:col>
          <xdr:colOff>66675</xdr:colOff>
          <xdr:row>20</xdr:row>
          <xdr:rowOff>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247650</xdr:rowOff>
        </xdr:from>
        <xdr:to>
          <xdr:col>25</xdr:col>
          <xdr:colOff>57150</xdr:colOff>
          <xdr:row>19</xdr:row>
          <xdr:rowOff>247650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45</xdr:row>
          <xdr:rowOff>9525</xdr:rowOff>
        </xdr:from>
        <xdr:to>
          <xdr:col>2</xdr:col>
          <xdr:colOff>190500</xdr:colOff>
          <xdr:row>45</xdr:row>
          <xdr:rowOff>209550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44</xdr:row>
          <xdr:rowOff>0</xdr:rowOff>
        </xdr:from>
        <xdr:to>
          <xdr:col>2</xdr:col>
          <xdr:colOff>190500</xdr:colOff>
          <xdr:row>44</xdr:row>
          <xdr:rowOff>209550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198120</xdr:colOff>
          <xdr:row>55</xdr:row>
          <xdr:rowOff>22860</xdr:rowOff>
        </xdr:from>
        <xdr:to>
          <xdr:col>2</xdr:col>
          <xdr:colOff>198120</xdr:colOff>
          <xdr:row>56</xdr:row>
          <xdr:rowOff>205740</xdr:rowOff>
        </xdr:to>
        <xdr:grpSp>
          <xdr:nvGrpSpPr>
            <xdr:cNvPr id="7" name="그룹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pSpPr/>
          </xdr:nvGrpSpPr>
          <xdr:grpSpPr>
            <a:xfrm>
              <a:off x="721995" y="14319885"/>
              <a:ext cx="209550" cy="411480"/>
              <a:chOff x="678180" y="14866576"/>
              <a:chExt cx="205740" cy="479885"/>
            </a:xfrm>
          </xdr:grpSpPr>
          <xdr:sp macro="" textlink="">
            <xdr:nvSpPr>
              <xdr:cNvPr id="2139" name="Check Box 91" hidden="1">
                <a:extLst>
                  <a:ext uri="{63B3BB69-23CF-44E3-9099-C40C66FF867C}">
                    <a14:compatExt spid="_x0000_s2139"/>
                  </a:ext>
                  <a:ext uri="{FF2B5EF4-FFF2-40B4-BE49-F238E27FC236}">
                    <a16:creationId xmlns:a16="http://schemas.microsoft.com/office/drawing/2014/main" id="{00000000-0008-0000-0100-00005B080000}"/>
                  </a:ext>
                </a:extLst>
              </xdr:cNvPr>
              <xdr:cNvSpPr/>
            </xdr:nvSpPr>
            <xdr:spPr bwMode="auto">
              <a:xfrm>
                <a:off x="678180" y="15148341"/>
                <a:ext cx="205740" cy="1981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40" name="Check Box 92" hidden="1">
                <a:extLst>
                  <a:ext uri="{63B3BB69-23CF-44E3-9099-C40C66FF867C}">
                    <a14:compatExt spid="_x0000_s2140"/>
                  </a:ext>
                  <a:ext uri="{FF2B5EF4-FFF2-40B4-BE49-F238E27FC236}">
                    <a16:creationId xmlns:a16="http://schemas.microsoft.com/office/drawing/2014/main" id="{00000000-0008-0000-0100-00005C080000}"/>
                  </a:ext>
                </a:extLst>
              </xdr:cNvPr>
              <xdr:cNvSpPr/>
            </xdr:nvSpPr>
            <xdr:spPr bwMode="auto">
              <a:xfrm>
                <a:off x="678180" y="14866576"/>
                <a:ext cx="205740" cy="1981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19050</xdr:rowOff>
        </xdr:from>
        <xdr:to>
          <xdr:col>2</xdr:col>
          <xdr:colOff>0</xdr:colOff>
          <xdr:row>15</xdr:row>
          <xdr:rowOff>190500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19050</xdr:rowOff>
        </xdr:from>
        <xdr:to>
          <xdr:col>2</xdr:col>
          <xdr:colOff>0</xdr:colOff>
          <xdr:row>16</xdr:row>
          <xdr:rowOff>190500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9</xdr:col>
          <xdr:colOff>19050</xdr:colOff>
          <xdr:row>17</xdr:row>
          <xdr:rowOff>171450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19050</xdr:rowOff>
        </xdr:from>
        <xdr:to>
          <xdr:col>9</xdr:col>
          <xdr:colOff>19050</xdr:colOff>
          <xdr:row>15</xdr:row>
          <xdr:rowOff>190500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</xdr:row>
          <xdr:rowOff>19050</xdr:rowOff>
        </xdr:from>
        <xdr:to>
          <xdr:col>9</xdr:col>
          <xdr:colOff>19050</xdr:colOff>
          <xdr:row>16</xdr:row>
          <xdr:rowOff>190500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9525</xdr:rowOff>
        </xdr:from>
        <xdr:to>
          <xdr:col>2</xdr:col>
          <xdr:colOff>0</xdr:colOff>
          <xdr:row>17</xdr:row>
          <xdr:rowOff>171450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19050</xdr:rowOff>
        </xdr:from>
        <xdr:to>
          <xdr:col>16</xdr:col>
          <xdr:colOff>9525</xdr:colOff>
          <xdr:row>15</xdr:row>
          <xdr:rowOff>190500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16</xdr:row>
          <xdr:rowOff>19050</xdr:rowOff>
        </xdr:from>
        <xdr:to>
          <xdr:col>16</xdr:col>
          <xdr:colOff>9525</xdr:colOff>
          <xdr:row>16</xdr:row>
          <xdr:rowOff>190500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19050</xdr:rowOff>
        </xdr:from>
        <xdr:to>
          <xdr:col>2</xdr:col>
          <xdr:colOff>0</xdr:colOff>
          <xdr:row>24</xdr:row>
          <xdr:rowOff>190500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19050</xdr:rowOff>
        </xdr:from>
        <xdr:to>
          <xdr:col>2</xdr:col>
          <xdr:colOff>0</xdr:colOff>
          <xdr:row>25</xdr:row>
          <xdr:rowOff>190500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</xdr:row>
          <xdr:rowOff>19050</xdr:rowOff>
        </xdr:from>
        <xdr:to>
          <xdr:col>9</xdr:col>
          <xdr:colOff>19050</xdr:colOff>
          <xdr:row>24</xdr:row>
          <xdr:rowOff>190500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</xdr:row>
          <xdr:rowOff>19050</xdr:rowOff>
        </xdr:from>
        <xdr:to>
          <xdr:col>9</xdr:col>
          <xdr:colOff>19050</xdr:colOff>
          <xdr:row>25</xdr:row>
          <xdr:rowOff>190500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24</xdr:row>
          <xdr:rowOff>19050</xdr:rowOff>
        </xdr:from>
        <xdr:to>
          <xdr:col>16</xdr:col>
          <xdr:colOff>9525</xdr:colOff>
          <xdr:row>24</xdr:row>
          <xdr:rowOff>190500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25</xdr:row>
          <xdr:rowOff>19050</xdr:rowOff>
        </xdr:from>
        <xdr:to>
          <xdr:col>16</xdr:col>
          <xdr:colOff>9525</xdr:colOff>
          <xdr:row>25</xdr:row>
          <xdr:rowOff>190500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19050</xdr:rowOff>
        </xdr:from>
        <xdr:to>
          <xdr:col>2</xdr:col>
          <xdr:colOff>0</xdr:colOff>
          <xdr:row>32</xdr:row>
          <xdr:rowOff>190500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19050</xdr:rowOff>
        </xdr:from>
        <xdr:to>
          <xdr:col>2</xdr:col>
          <xdr:colOff>0</xdr:colOff>
          <xdr:row>33</xdr:row>
          <xdr:rowOff>190500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19050</xdr:rowOff>
        </xdr:from>
        <xdr:to>
          <xdr:col>2</xdr:col>
          <xdr:colOff>0</xdr:colOff>
          <xdr:row>34</xdr:row>
          <xdr:rowOff>190500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19050</xdr:rowOff>
        </xdr:from>
        <xdr:to>
          <xdr:col>2</xdr:col>
          <xdr:colOff>0</xdr:colOff>
          <xdr:row>35</xdr:row>
          <xdr:rowOff>190500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</xdr:row>
          <xdr:rowOff>19050</xdr:rowOff>
        </xdr:from>
        <xdr:to>
          <xdr:col>9</xdr:col>
          <xdr:colOff>19050</xdr:colOff>
          <xdr:row>32</xdr:row>
          <xdr:rowOff>190500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</xdr:row>
          <xdr:rowOff>19050</xdr:rowOff>
        </xdr:from>
        <xdr:to>
          <xdr:col>9</xdr:col>
          <xdr:colOff>19050</xdr:colOff>
          <xdr:row>33</xdr:row>
          <xdr:rowOff>190500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</xdr:row>
          <xdr:rowOff>19050</xdr:rowOff>
        </xdr:from>
        <xdr:to>
          <xdr:col>9</xdr:col>
          <xdr:colOff>19050</xdr:colOff>
          <xdr:row>34</xdr:row>
          <xdr:rowOff>190500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</xdr:row>
          <xdr:rowOff>19050</xdr:rowOff>
        </xdr:from>
        <xdr:to>
          <xdr:col>9</xdr:col>
          <xdr:colOff>19050</xdr:colOff>
          <xdr:row>35</xdr:row>
          <xdr:rowOff>190500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32</xdr:row>
          <xdr:rowOff>22860</xdr:rowOff>
        </xdr:from>
        <xdr:to>
          <xdr:col>15</xdr:col>
          <xdr:colOff>15240</xdr:colOff>
          <xdr:row>34</xdr:row>
          <xdr:rowOff>190500</xdr:rowOff>
        </xdr:to>
        <xdr:grpSp>
          <xdr:nvGrpSpPr>
            <xdr:cNvPr id="4" name="그룹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pSpPr/>
          </xdr:nvGrpSpPr>
          <xdr:grpSpPr>
            <a:xfrm>
              <a:off x="3152775" y="8395335"/>
              <a:ext cx="215265" cy="624840"/>
              <a:chOff x="3291840" y="8336280"/>
              <a:chExt cx="205740" cy="624840"/>
            </a:xfrm>
          </xdr:grpSpPr>
          <xdr:sp macro="" textlink="">
            <xdr:nvSpPr>
              <xdr:cNvPr id="2165" name="Check Box 117" hidden="1">
                <a:extLst>
                  <a:ext uri="{63B3BB69-23CF-44E3-9099-C40C66FF867C}">
                    <a14:compatExt spid="_x0000_s2165"/>
                  </a:ext>
                  <a:ext uri="{FF2B5EF4-FFF2-40B4-BE49-F238E27FC236}">
                    <a16:creationId xmlns:a16="http://schemas.microsoft.com/office/drawing/2014/main" id="{00000000-0008-0000-0100-000075080000}"/>
                  </a:ext>
                </a:extLst>
              </xdr:cNvPr>
              <xdr:cNvSpPr/>
            </xdr:nvSpPr>
            <xdr:spPr bwMode="auto">
              <a:xfrm>
                <a:off x="3291840" y="83362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66" name="Check Box 118" hidden="1">
                <a:extLst>
                  <a:ext uri="{63B3BB69-23CF-44E3-9099-C40C66FF867C}">
                    <a14:compatExt spid="_x0000_s2166"/>
                  </a:ext>
                  <a:ext uri="{FF2B5EF4-FFF2-40B4-BE49-F238E27FC236}">
                    <a16:creationId xmlns:a16="http://schemas.microsoft.com/office/drawing/2014/main" id="{00000000-0008-0000-0100-000076080000}"/>
                  </a:ext>
                </a:extLst>
              </xdr:cNvPr>
              <xdr:cNvSpPr/>
            </xdr:nvSpPr>
            <xdr:spPr bwMode="auto">
              <a:xfrm>
                <a:off x="3291840" y="87934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67" name="Check Box 119" hidden="1">
                <a:extLst>
                  <a:ext uri="{63B3BB69-23CF-44E3-9099-C40C66FF867C}">
                    <a14:compatExt spid="_x0000_s2167"/>
                  </a:ext>
                  <a:ext uri="{FF2B5EF4-FFF2-40B4-BE49-F238E27FC236}">
                    <a16:creationId xmlns:a16="http://schemas.microsoft.com/office/drawing/2014/main" id="{00000000-0008-0000-0100-000077080000}"/>
                  </a:ext>
                </a:extLst>
              </xdr:cNvPr>
              <xdr:cNvSpPr/>
            </xdr:nvSpPr>
            <xdr:spPr bwMode="auto">
              <a:xfrm>
                <a:off x="3291840" y="85648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19050</xdr:rowOff>
        </xdr:from>
        <xdr:to>
          <xdr:col>2</xdr:col>
          <xdr:colOff>0</xdr:colOff>
          <xdr:row>42</xdr:row>
          <xdr:rowOff>190500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19050</xdr:rowOff>
        </xdr:from>
        <xdr:to>
          <xdr:col>2</xdr:col>
          <xdr:colOff>0</xdr:colOff>
          <xdr:row>43</xdr:row>
          <xdr:rowOff>190500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42</xdr:row>
          <xdr:rowOff>22860</xdr:rowOff>
        </xdr:from>
        <xdr:to>
          <xdr:col>14</xdr:col>
          <xdr:colOff>7620</xdr:colOff>
          <xdr:row>43</xdr:row>
          <xdr:rowOff>190500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2947035" y="11081385"/>
              <a:ext cx="213360" cy="396240"/>
              <a:chOff x="3086100" y="11696700"/>
              <a:chExt cx="205740" cy="396240"/>
            </a:xfrm>
          </xdr:grpSpPr>
          <xdr:sp macro="" textlink="">
            <xdr:nvSpPr>
              <xdr:cNvPr id="2177" name="Check Box 129" hidden="1">
                <a:extLst>
                  <a:ext uri="{63B3BB69-23CF-44E3-9099-C40C66FF867C}">
                    <a14:compatExt spid="_x0000_s2177"/>
                  </a:ext>
                  <a:ext uri="{FF2B5EF4-FFF2-40B4-BE49-F238E27FC236}">
                    <a16:creationId xmlns:a16="http://schemas.microsoft.com/office/drawing/2014/main" id="{00000000-0008-0000-0100-000081080000}"/>
                  </a:ext>
                </a:extLst>
              </xdr:cNvPr>
              <xdr:cNvSpPr/>
            </xdr:nvSpPr>
            <xdr:spPr bwMode="auto">
              <a:xfrm>
                <a:off x="3086100" y="1169670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78" name="Check Box 130" hidden="1">
                <a:extLst>
                  <a:ext uri="{63B3BB69-23CF-44E3-9099-C40C66FF867C}">
                    <a14:compatExt spid="_x0000_s2178"/>
                  </a:ext>
                  <a:ext uri="{FF2B5EF4-FFF2-40B4-BE49-F238E27FC236}">
                    <a16:creationId xmlns:a16="http://schemas.microsoft.com/office/drawing/2014/main" id="{00000000-0008-0000-0100-000082080000}"/>
                  </a:ext>
                </a:extLst>
              </xdr:cNvPr>
              <xdr:cNvSpPr/>
            </xdr:nvSpPr>
            <xdr:spPr bwMode="auto">
              <a:xfrm>
                <a:off x="3086100" y="1192530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</xdr:row>
          <xdr:rowOff>19050</xdr:rowOff>
        </xdr:from>
        <xdr:to>
          <xdr:col>2</xdr:col>
          <xdr:colOff>0</xdr:colOff>
          <xdr:row>52</xdr:row>
          <xdr:rowOff>190500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1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19050</xdr:rowOff>
        </xdr:from>
        <xdr:to>
          <xdr:col>2</xdr:col>
          <xdr:colOff>0</xdr:colOff>
          <xdr:row>53</xdr:row>
          <xdr:rowOff>190500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1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19050</xdr:rowOff>
        </xdr:from>
        <xdr:to>
          <xdr:col>2</xdr:col>
          <xdr:colOff>0</xdr:colOff>
          <xdr:row>54</xdr:row>
          <xdr:rowOff>190500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1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52</xdr:row>
          <xdr:rowOff>22860</xdr:rowOff>
        </xdr:from>
        <xdr:to>
          <xdr:col>10</xdr:col>
          <xdr:colOff>7620</xdr:colOff>
          <xdr:row>54</xdr:row>
          <xdr:rowOff>190500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2078355" y="13634085"/>
              <a:ext cx="215265" cy="624840"/>
              <a:chOff x="2316480" y="14531340"/>
              <a:chExt cx="205740" cy="624840"/>
            </a:xfrm>
          </xdr:grpSpPr>
          <xdr:sp macro="" textlink="">
            <xdr:nvSpPr>
              <xdr:cNvPr id="2182" name="Check Box 134" hidden="1">
                <a:extLst>
                  <a:ext uri="{63B3BB69-23CF-44E3-9099-C40C66FF867C}">
                    <a14:compatExt spid="_x0000_s2182"/>
                  </a:ext>
                  <a:ext uri="{FF2B5EF4-FFF2-40B4-BE49-F238E27FC236}">
                    <a16:creationId xmlns:a16="http://schemas.microsoft.com/office/drawing/2014/main" id="{00000000-0008-0000-0100-000086080000}"/>
                  </a:ext>
                </a:extLst>
              </xdr:cNvPr>
              <xdr:cNvSpPr/>
            </xdr:nvSpPr>
            <xdr:spPr bwMode="auto">
              <a:xfrm>
                <a:off x="2316480" y="145313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83" name="Check Box 135" hidden="1">
                <a:extLst>
                  <a:ext uri="{63B3BB69-23CF-44E3-9099-C40C66FF867C}">
                    <a14:compatExt spid="_x0000_s2183"/>
                  </a:ext>
                  <a:ext uri="{FF2B5EF4-FFF2-40B4-BE49-F238E27FC236}">
                    <a16:creationId xmlns:a16="http://schemas.microsoft.com/office/drawing/2014/main" id="{00000000-0008-0000-0100-000087080000}"/>
                  </a:ext>
                </a:extLst>
              </xdr:cNvPr>
              <xdr:cNvSpPr/>
            </xdr:nvSpPr>
            <xdr:spPr bwMode="auto">
              <a:xfrm>
                <a:off x="2316480" y="147599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84" name="Check Box 136" hidden="1">
                <a:extLst>
                  <a:ext uri="{63B3BB69-23CF-44E3-9099-C40C66FF867C}">
                    <a14:compatExt spid="_x0000_s2184"/>
                  </a:ext>
                  <a:ext uri="{FF2B5EF4-FFF2-40B4-BE49-F238E27FC236}">
                    <a16:creationId xmlns:a16="http://schemas.microsoft.com/office/drawing/2014/main" id="{00000000-0008-0000-0100-000088080000}"/>
                  </a:ext>
                </a:extLst>
              </xdr:cNvPr>
              <xdr:cNvSpPr/>
            </xdr:nvSpPr>
            <xdr:spPr bwMode="auto">
              <a:xfrm>
                <a:off x="2316480" y="149885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53</xdr:row>
          <xdr:rowOff>22860</xdr:rowOff>
        </xdr:from>
        <xdr:to>
          <xdr:col>17</xdr:col>
          <xdr:colOff>167640</xdr:colOff>
          <xdr:row>54</xdr:row>
          <xdr:rowOff>190500</xdr:rowOff>
        </xdr:to>
        <xdr:grpSp>
          <xdr:nvGrpSpPr>
            <xdr:cNvPr id="6" name="그룹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3735705" y="13862685"/>
              <a:ext cx="184785" cy="396240"/>
              <a:chOff x="3649980" y="14813280"/>
              <a:chExt cx="205740" cy="396240"/>
            </a:xfrm>
          </xdr:grpSpPr>
          <xdr:sp macro="" textlink="">
            <xdr:nvSpPr>
              <xdr:cNvPr id="2185" name="Check Box 137" hidden="1">
                <a:extLst>
                  <a:ext uri="{63B3BB69-23CF-44E3-9099-C40C66FF867C}">
                    <a14:compatExt spid="_x0000_s2185"/>
                  </a:ext>
                  <a:ext uri="{FF2B5EF4-FFF2-40B4-BE49-F238E27FC236}">
                    <a16:creationId xmlns:a16="http://schemas.microsoft.com/office/drawing/2014/main" id="{00000000-0008-0000-0100-000089080000}"/>
                  </a:ext>
                </a:extLst>
              </xdr:cNvPr>
              <xdr:cNvSpPr/>
            </xdr:nvSpPr>
            <xdr:spPr bwMode="auto">
              <a:xfrm>
                <a:off x="3649980" y="148132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86" name="Check Box 138" hidden="1">
                <a:extLst>
                  <a:ext uri="{63B3BB69-23CF-44E3-9099-C40C66FF867C}">
                    <a14:compatExt spid="_x0000_s2186"/>
                  </a:ext>
                  <a:ext uri="{FF2B5EF4-FFF2-40B4-BE49-F238E27FC236}">
                    <a16:creationId xmlns:a16="http://schemas.microsoft.com/office/drawing/2014/main" id="{00000000-0008-0000-0100-00008A080000}"/>
                  </a:ext>
                </a:extLst>
              </xdr:cNvPr>
              <xdr:cNvSpPr/>
            </xdr:nvSpPr>
            <xdr:spPr bwMode="auto">
              <a:xfrm>
                <a:off x="3649980" y="150418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19050</xdr:rowOff>
        </xdr:from>
        <xdr:to>
          <xdr:col>2</xdr:col>
          <xdr:colOff>0</xdr:colOff>
          <xdr:row>63</xdr:row>
          <xdr:rowOff>190500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1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64</xdr:row>
          <xdr:rowOff>19050</xdr:rowOff>
        </xdr:from>
        <xdr:to>
          <xdr:col>2</xdr:col>
          <xdr:colOff>0</xdr:colOff>
          <xdr:row>64</xdr:row>
          <xdr:rowOff>190500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1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65</xdr:row>
          <xdr:rowOff>19050</xdr:rowOff>
        </xdr:from>
        <xdr:to>
          <xdr:col>2</xdr:col>
          <xdr:colOff>0</xdr:colOff>
          <xdr:row>65</xdr:row>
          <xdr:rowOff>190500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1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182880</xdr:colOff>
          <xdr:row>63</xdr:row>
          <xdr:rowOff>30480</xdr:rowOff>
        </xdr:from>
        <xdr:to>
          <xdr:col>11</xdr:col>
          <xdr:colOff>190500</xdr:colOff>
          <xdr:row>65</xdr:row>
          <xdr:rowOff>198120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2468880" y="16603980"/>
              <a:ext cx="207645" cy="624840"/>
              <a:chOff x="2697480" y="18074640"/>
              <a:chExt cx="205740" cy="624840"/>
            </a:xfrm>
          </xdr:grpSpPr>
          <xdr:sp macro="" textlink="">
            <xdr:nvSpPr>
              <xdr:cNvPr id="2190" name="Check Box 142" hidden="1">
                <a:extLst>
                  <a:ext uri="{63B3BB69-23CF-44E3-9099-C40C66FF867C}">
                    <a14:compatExt spid="_x0000_s2190"/>
                  </a:ext>
                  <a:ext uri="{FF2B5EF4-FFF2-40B4-BE49-F238E27FC236}">
                    <a16:creationId xmlns:a16="http://schemas.microsoft.com/office/drawing/2014/main" id="{00000000-0008-0000-0100-00008E080000}"/>
                  </a:ext>
                </a:extLst>
              </xdr:cNvPr>
              <xdr:cNvSpPr/>
            </xdr:nvSpPr>
            <xdr:spPr bwMode="auto">
              <a:xfrm>
                <a:off x="2697480" y="180746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91" name="Check Box 143" hidden="1">
                <a:extLst>
                  <a:ext uri="{63B3BB69-23CF-44E3-9099-C40C66FF867C}">
                    <a14:compatExt spid="_x0000_s2191"/>
                  </a:ext>
                  <a:ext uri="{FF2B5EF4-FFF2-40B4-BE49-F238E27FC236}">
                    <a16:creationId xmlns:a16="http://schemas.microsoft.com/office/drawing/2014/main" id="{00000000-0008-0000-0100-00008F080000}"/>
                  </a:ext>
                </a:extLst>
              </xdr:cNvPr>
              <xdr:cNvSpPr/>
            </xdr:nvSpPr>
            <xdr:spPr bwMode="auto">
              <a:xfrm>
                <a:off x="2697480" y="185318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92" name="Check Box 144" hidden="1">
                <a:extLst>
                  <a:ext uri="{63B3BB69-23CF-44E3-9099-C40C66FF867C}">
                    <a14:compatExt spid="_x0000_s2192"/>
                  </a:ext>
                  <a:ext uri="{FF2B5EF4-FFF2-40B4-BE49-F238E27FC236}">
                    <a16:creationId xmlns:a16="http://schemas.microsoft.com/office/drawing/2014/main" id="{00000000-0008-0000-0100-000090080000}"/>
                  </a:ext>
                </a:extLst>
              </xdr:cNvPr>
              <xdr:cNvSpPr/>
            </xdr:nvSpPr>
            <xdr:spPr bwMode="auto">
              <a:xfrm>
                <a:off x="2697480" y="1829562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123825</xdr:colOff>
          <xdr:row>64</xdr:row>
          <xdr:rowOff>19050</xdr:rowOff>
        </xdr:from>
        <xdr:to>
          <xdr:col>19</xdr:col>
          <xdr:colOff>0</xdr:colOff>
          <xdr:row>64</xdr:row>
          <xdr:rowOff>180975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1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38100</xdr:rowOff>
        </xdr:from>
        <xdr:to>
          <xdr:col>1</xdr:col>
          <xdr:colOff>323850</xdr:colOff>
          <xdr:row>5</xdr:row>
          <xdr:rowOff>209550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38100</xdr:rowOff>
        </xdr:from>
        <xdr:to>
          <xdr:col>1</xdr:col>
          <xdr:colOff>323850</xdr:colOff>
          <xdr:row>6</xdr:row>
          <xdr:rowOff>209550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38100</xdr:rowOff>
        </xdr:from>
        <xdr:to>
          <xdr:col>1</xdr:col>
          <xdr:colOff>323850</xdr:colOff>
          <xdr:row>8</xdr:row>
          <xdr:rowOff>209550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2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38100</xdr:rowOff>
        </xdr:from>
        <xdr:to>
          <xdr:col>1</xdr:col>
          <xdr:colOff>323850</xdr:colOff>
          <xdr:row>7</xdr:row>
          <xdr:rowOff>209550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2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45</xdr:row>
          <xdr:rowOff>9525</xdr:rowOff>
        </xdr:from>
        <xdr:to>
          <xdr:col>2</xdr:col>
          <xdr:colOff>190500</xdr:colOff>
          <xdr:row>45</xdr:row>
          <xdr:rowOff>209550</xdr:rowOff>
        </xdr:to>
        <xdr:sp macro="" textlink="">
          <xdr:nvSpPr>
            <xdr:cNvPr id="31745" name="Check Box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3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44</xdr:row>
          <xdr:rowOff>0</xdr:rowOff>
        </xdr:from>
        <xdr:to>
          <xdr:col>2</xdr:col>
          <xdr:colOff>190500</xdr:colOff>
          <xdr:row>44</xdr:row>
          <xdr:rowOff>209550</xdr:rowOff>
        </xdr:to>
        <xdr:sp macro="" textlink="">
          <xdr:nvSpPr>
            <xdr:cNvPr id="31746" name="Check Box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3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198120</xdr:colOff>
          <xdr:row>55</xdr:row>
          <xdr:rowOff>22860</xdr:rowOff>
        </xdr:from>
        <xdr:to>
          <xdr:col>2</xdr:col>
          <xdr:colOff>198120</xdr:colOff>
          <xdr:row>56</xdr:row>
          <xdr:rowOff>205740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pSpPr/>
          </xdr:nvGrpSpPr>
          <xdr:grpSpPr>
            <a:xfrm>
              <a:off x="721995" y="14319885"/>
              <a:ext cx="209550" cy="411480"/>
              <a:chOff x="678180" y="14866576"/>
              <a:chExt cx="205740" cy="479885"/>
            </a:xfrm>
          </xdr:grpSpPr>
          <xdr:sp macro="" textlink="">
            <xdr:nvSpPr>
              <xdr:cNvPr id="31747" name="Check Box 3" hidden="1">
                <a:extLst>
                  <a:ext uri="{63B3BB69-23CF-44E3-9099-C40C66FF867C}">
                    <a14:compatExt spid="_x0000_s31747"/>
                  </a:ext>
                  <a:ext uri="{FF2B5EF4-FFF2-40B4-BE49-F238E27FC236}">
                    <a16:creationId xmlns:a16="http://schemas.microsoft.com/office/drawing/2014/main" id="{00000000-0008-0000-0300-0000037C0000}"/>
                  </a:ext>
                </a:extLst>
              </xdr:cNvPr>
              <xdr:cNvSpPr/>
            </xdr:nvSpPr>
            <xdr:spPr bwMode="auto">
              <a:xfrm>
                <a:off x="678180" y="15148341"/>
                <a:ext cx="205740" cy="1981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48" name="Check Box 4" hidden="1">
                <a:extLst>
                  <a:ext uri="{63B3BB69-23CF-44E3-9099-C40C66FF867C}">
                    <a14:compatExt spid="_x0000_s31748"/>
                  </a:ext>
                  <a:ext uri="{FF2B5EF4-FFF2-40B4-BE49-F238E27FC236}">
                    <a16:creationId xmlns:a16="http://schemas.microsoft.com/office/drawing/2014/main" id="{00000000-0008-0000-0300-0000047C0000}"/>
                  </a:ext>
                </a:extLst>
              </xdr:cNvPr>
              <xdr:cNvSpPr/>
            </xdr:nvSpPr>
            <xdr:spPr bwMode="auto">
              <a:xfrm>
                <a:off x="678180" y="14866576"/>
                <a:ext cx="205740" cy="1981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19050</xdr:rowOff>
        </xdr:from>
        <xdr:to>
          <xdr:col>2</xdr:col>
          <xdr:colOff>0</xdr:colOff>
          <xdr:row>15</xdr:row>
          <xdr:rowOff>190500</xdr:rowOff>
        </xdr:to>
        <xdr:sp macro="" textlink="">
          <xdr:nvSpPr>
            <xdr:cNvPr id="31749" name="Check Box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3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19050</xdr:rowOff>
        </xdr:from>
        <xdr:to>
          <xdr:col>2</xdr:col>
          <xdr:colOff>0</xdr:colOff>
          <xdr:row>16</xdr:row>
          <xdr:rowOff>190500</xdr:rowOff>
        </xdr:to>
        <xdr:sp macro="" textlink="">
          <xdr:nvSpPr>
            <xdr:cNvPr id="31750" name="Check Box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3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9</xdr:col>
          <xdr:colOff>19050</xdr:colOff>
          <xdr:row>17</xdr:row>
          <xdr:rowOff>171450</xdr:rowOff>
        </xdr:to>
        <xdr:sp macro="" textlink="">
          <xdr:nvSpPr>
            <xdr:cNvPr id="31751" name="Check Box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3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19050</xdr:rowOff>
        </xdr:from>
        <xdr:to>
          <xdr:col>9</xdr:col>
          <xdr:colOff>19050</xdr:colOff>
          <xdr:row>15</xdr:row>
          <xdr:rowOff>190500</xdr:rowOff>
        </xdr:to>
        <xdr:sp macro="" textlink="">
          <xdr:nvSpPr>
            <xdr:cNvPr id="31752" name="Check Box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3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</xdr:row>
          <xdr:rowOff>19050</xdr:rowOff>
        </xdr:from>
        <xdr:to>
          <xdr:col>9</xdr:col>
          <xdr:colOff>19050</xdr:colOff>
          <xdr:row>16</xdr:row>
          <xdr:rowOff>190500</xdr:rowOff>
        </xdr:to>
        <xdr:sp macro="" textlink="">
          <xdr:nvSpPr>
            <xdr:cNvPr id="31753" name="Check Box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3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9525</xdr:rowOff>
        </xdr:from>
        <xdr:to>
          <xdr:col>2</xdr:col>
          <xdr:colOff>0</xdr:colOff>
          <xdr:row>17</xdr:row>
          <xdr:rowOff>171450</xdr:rowOff>
        </xdr:to>
        <xdr:sp macro="" textlink="">
          <xdr:nvSpPr>
            <xdr:cNvPr id="31754" name="Check Box 10" hidden="1">
              <a:extLst>
                <a:ext uri="{63B3BB69-23CF-44E3-9099-C40C66FF867C}">
                  <a14:compatExt spid="_x0000_s31754"/>
                </a:ext>
                <a:ext uri="{FF2B5EF4-FFF2-40B4-BE49-F238E27FC236}">
                  <a16:creationId xmlns:a16="http://schemas.microsoft.com/office/drawing/2014/main" id="{00000000-0008-0000-0300-00000A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19050</xdr:rowOff>
        </xdr:from>
        <xdr:to>
          <xdr:col>16</xdr:col>
          <xdr:colOff>9525</xdr:colOff>
          <xdr:row>15</xdr:row>
          <xdr:rowOff>190500</xdr:rowOff>
        </xdr:to>
        <xdr:sp macro="" textlink="">
          <xdr:nvSpPr>
            <xdr:cNvPr id="31755" name="Check Box 11" hidden="1">
              <a:extLst>
                <a:ext uri="{63B3BB69-23CF-44E3-9099-C40C66FF867C}">
                  <a14:compatExt spid="_x0000_s31755"/>
                </a:ext>
                <a:ext uri="{FF2B5EF4-FFF2-40B4-BE49-F238E27FC236}">
                  <a16:creationId xmlns:a16="http://schemas.microsoft.com/office/drawing/2014/main" id="{00000000-0008-0000-0300-00000B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16</xdr:row>
          <xdr:rowOff>19050</xdr:rowOff>
        </xdr:from>
        <xdr:to>
          <xdr:col>16</xdr:col>
          <xdr:colOff>9525</xdr:colOff>
          <xdr:row>16</xdr:row>
          <xdr:rowOff>190500</xdr:rowOff>
        </xdr:to>
        <xdr:sp macro="" textlink="">
          <xdr:nvSpPr>
            <xdr:cNvPr id="31756" name="Check Box 12" hidden="1">
              <a:extLst>
                <a:ext uri="{63B3BB69-23CF-44E3-9099-C40C66FF867C}">
                  <a14:compatExt spid="_x0000_s31756"/>
                </a:ext>
                <a:ext uri="{FF2B5EF4-FFF2-40B4-BE49-F238E27FC236}">
                  <a16:creationId xmlns:a16="http://schemas.microsoft.com/office/drawing/2014/main" id="{00000000-0008-0000-0300-00000C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19050</xdr:rowOff>
        </xdr:from>
        <xdr:to>
          <xdr:col>2</xdr:col>
          <xdr:colOff>0</xdr:colOff>
          <xdr:row>24</xdr:row>
          <xdr:rowOff>190500</xdr:rowOff>
        </xdr:to>
        <xdr:sp macro="" textlink="">
          <xdr:nvSpPr>
            <xdr:cNvPr id="31757" name="Check Box 13" hidden="1">
              <a:extLst>
                <a:ext uri="{63B3BB69-23CF-44E3-9099-C40C66FF867C}">
                  <a14:compatExt spid="_x0000_s31757"/>
                </a:ext>
                <a:ext uri="{FF2B5EF4-FFF2-40B4-BE49-F238E27FC236}">
                  <a16:creationId xmlns:a16="http://schemas.microsoft.com/office/drawing/2014/main" id="{00000000-0008-0000-0300-00000D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19050</xdr:rowOff>
        </xdr:from>
        <xdr:to>
          <xdr:col>2</xdr:col>
          <xdr:colOff>0</xdr:colOff>
          <xdr:row>25</xdr:row>
          <xdr:rowOff>190500</xdr:rowOff>
        </xdr:to>
        <xdr:sp macro="" textlink="">
          <xdr:nvSpPr>
            <xdr:cNvPr id="31758" name="Check Box 14" hidden="1">
              <a:extLst>
                <a:ext uri="{63B3BB69-23CF-44E3-9099-C40C66FF867C}">
                  <a14:compatExt spid="_x0000_s31758"/>
                </a:ext>
                <a:ext uri="{FF2B5EF4-FFF2-40B4-BE49-F238E27FC236}">
                  <a16:creationId xmlns:a16="http://schemas.microsoft.com/office/drawing/2014/main" id="{00000000-0008-0000-0300-00000E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</xdr:row>
          <xdr:rowOff>19050</xdr:rowOff>
        </xdr:from>
        <xdr:to>
          <xdr:col>9</xdr:col>
          <xdr:colOff>19050</xdr:colOff>
          <xdr:row>24</xdr:row>
          <xdr:rowOff>190500</xdr:rowOff>
        </xdr:to>
        <xdr:sp macro="" textlink="">
          <xdr:nvSpPr>
            <xdr:cNvPr id="31759" name="Check Box 15" hidden="1">
              <a:extLst>
                <a:ext uri="{63B3BB69-23CF-44E3-9099-C40C66FF867C}">
                  <a14:compatExt spid="_x0000_s31759"/>
                </a:ext>
                <a:ext uri="{FF2B5EF4-FFF2-40B4-BE49-F238E27FC236}">
                  <a16:creationId xmlns:a16="http://schemas.microsoft.com/office/drawing/2014/main" id="{00000000-0008-0000-0300-00000F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</xdr:row>
          <xdr:rowOff>19050</xdr:rowOff>
        </xdr:from>
        <xdr:to>
          <xdr:col>9</xdr:col>
          <xdr:colOff>19050</xdr:colOff>
          <xdr:row>25</xdr:row>
          <xdr:rowOff>190500</xdr:rowOff>
        </xdr:to>
        <xdr:sp macro="" textlink="">
          <xdr:nvSpPr>
            <xdr:cNvPr id="31760" name="Check Box 16" hidden="1">
              <a:extLst>
                <a:ext uri="{63B3BB69-23CF-44E3-9099-C40C66FF867C}">
                  <a14:compatExt spid="_x0000_s31760"/>
                </a:ext>
                <a:ext uri="{FF2B5EF4-FFF2-40B4-BE49-F238E27FC236}">
                  <a16:creationId xmlns:a16="http://schemas.microsoft.com/office/drawing/2014/main" id="{00000000-0008-0000-0300-000010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24</xdr:row>
          <xdr:rowOff>19050</xdr:rowOff>
        </xdr:from>
        <xdr:to>
          <xdr:col>16</xdr:col>
          <xdr:colOff>9525</xdr:colOff>
          <xdr:row>24</xdr:row>
          <xdr:rowOff>190500</xdr:rowOff>
        </xdr:to>
        <xdr:sp macro="" textlink="">
          <xdr:nvSpPr>
            <xdr:cNvPr id="31761" name="Check Box 17" hidden="1">
              <a:extLst>
                <a:ext uri="{63B3BB69-23CF-44E3-9099-C40C66FF867C}">
                  <a14:compatExt spid="_x0000_s31761"/>
                </a:ext>
                <a:ext uri="{FF2B5EF4-FFF2-40B4-BE49-F238E27FC236}">
                  <a16:creationId xmlns:a16="http://schemas.microsoft.com/office/drawing/2014/main" id="{00000000-0008-0000-0300-00001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25</xdr:row>
          <xdr:rowOff>19050</xdr:rowOff>
        </xdr:from>
        <xdr:to>
          <xdr:col>16</xdr:col>
          <xdr:colOff>9525</xdr:colOff>
          <xdr:row>25</xdr:row>
          <xdr:rowOff>190500</xdr:rowOff>
        </xdr:to>
        <xdr:sp macro="" textlink="">
          <xdr:nvSpPr>
            <xdr:cNvPr id="31762" name="Check Box 18" hidden="1">
              <a:extLst>
                <a:ext uri="{63B3BB69-23CF-44E3-9099-C40C66FF867C}">
                  <a14:compatExt spid="_x0000_s31762"/>
                </a:ext>
                <a:ext uri="{FF2B5EF4-FFF2-40B4-BE49-F238E27FC236}">
                  <a16:creationId xmlns:a16="http://schemas.microsoft.com/office/drawing/2014/main" id="{00000000-0008-0000-0300-00001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19050</xdr:rowOff>
        </xdr:from>
        <xdr:to>
          <xdr:col>2</xdr:col>
          <xdr:colOff>0</xdr:colOff>
          <xdr:row>32</xdr:row>
          <xdr:rowOff>190500</xdr:rowOff>
        </xdr:to>
        <xdr:sp macro="" textlink="">
          <xdr:nvSpPr>
            <xdr:cNvPr id="31763" name="Check Box 19" hidden="1">
              <a:extLst>
                <a:ext uri="{63B3BB69-23CF-44E3-9099-C40C66FF867C}">
                  <a14:compatExt spid="_x0000_s31763"/>
                </a:ext>
                <a:ext uri="{FF2B5EF4-FFF2-40B4-BE49-F238E27FC236}">
                  <a16:creationId xmlns:a16="http://schemas.microsoft.com/office/drawing/2014/main" id="{00000000-0008-0000-0300-00001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19050</xdr:rowOff>
        </xdr:from>
        <xdr:to>
          <xdr:col>2</xdr:col>
          <xdr:colOff>0</xdr:colOff>
          <xdr:row>33</xdr:row>
          <xdr:rowOff>190500</xdr:rowOff>
        </xdr:to>
        <xdr:sp macro="" textlink="">
          <xdr:nvSpPr>
            <xdr:cNvPr id="31764" name="Check Box 20" hidden="1">
              <a:extLst>
                <a:ext uri="{63B3BB69-23CF-44E3-9099-C40C66FF867C}">
                  <a14:compatExt spid="_x0000_s31764"/>
                </a:ext>
                <a:ext uri="{FF2B5EF4-FFF2-40B4-BE49-F238E27FC236}">
                  <a16:creationId xmlns:a16="http://schemas.microsoft.com/office/drawing/2014/main" id="{00000000-0008-0000-0300-00001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19050</xdr:rowOff>
        </xdr:from>
        <xdr:to>
          <xdr:col>2</xdr:col>
          <xdr:colOff>0</xdr:colOff>
          <xdr:row>34</xdr:row>
          <xdr:rowOff>190500</xdr:rowOff>
        </xdr:to>
        <xdr:sp macro="" textlink="">
          <xdr:nvSpPr>
            <xdr:cNvPr id="31765" name="Check Box 21" hidden="1">
              <a:extLst>
                <a:ext uri="{63B3BB69-23CF-44E3-9099-C40C66FF867C}">
                  <a14:compatExt spid="_x0000_s31765"/>
                </a:ext>
                <a:ext uri="{FF2B5EF4-FFF2-40B4-BE49-F238E27FC236}">
                  <a16:creationId xmlns:a16="http://schemas.microsoft.com/office/drawing/2014/main" id="{00000000-0008-0000-0300-00001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19050</xdr:rowOff>
        </xdr:from>
        <xdr:to>
          <xdr:col>2</xdr:col>
          <xdr:colOff>0</xdr:colOff>
          <xdr:row>35</xdr:row>
          <xdr:rowOff>190500</xdr:rowOff>
        </xdr:to>
        <xdr:sp macro="" textlink="">
          <xdr:nvSpPr>
            <xdr:cNvPr id="31766" name="Check Box 22" hidden="1">
              <a:extLst>
                <a:ext uri="{63B3BB69-23CF-44E3-9099-C40C66FF867C}">
                  <a14:compatExt spid="_x0000_s31766"/>
                </a:ext>
                <a:ext uri="{FF2B5EF4-FFF2-40B4-BE49-F238E27FC236}">
                  <a16:creationId xmlns:a16="http://schemas.microsoft.com/office/drawing/2014/main" id="{00000000-0008-0000-0300-00001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</xdr:row>
          <xdr:rowOff>19050</xdr:rowOff>
        </xdr:from>
        <xdr:to>
          <xdr:col>9</xdr:col>
          <xdr:colOff>19050</xdr:colOff>
          <xdr:row>32</xdr:row>
          <xdr:rowOff>190500</xdr:rowOff>
        </xdr:to>
        <xdr:sp macro="" textlink="">
          <xdr:nvSpPr>
            <xdr:cNvPr id="31767" name="Check Box 23" hidden="1">
              <a:extLst>
                <a:ext uri="{63B3BB69-23CF-44E3-9099-C40C66FF867C}">
                  <a14:compatExt spid="_x0000_s31767"/>
                </a:ext>
                <a:ext uri="{FF2B5EF4-FFF2-40B4-BE49-F238E27FC236}">
                  <a16:creationId xmlns:a16="http://schemas.microsoft.com/office/drawing/2014/main" id="{00000000-0008-0000-0300-00001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</xdr:row>
          <xdr:rowOff>19050</xdr:rowOff>
        </xdr:from>
        <xdr:to>
          <xdr:col>9</xdr:col>
          <xdr:colOff>19050</xdr:colOff>
          <xdr:row>33</xdr:row>
          <xdr:rowOff>190500</xdr:rowOff>
        </xdr:to>
        <xdr:sp macro="" textlink="">
          <xdr:nvSpPr>
            <xdr:cNvPr id="31768" name="Check Box 24" hidden="1">
              <a:extLst>
                <a:ext uri="{63B3BB69-23CF-44E3-9099-C40C66FF867C}">
                  <a14:compatExt spid="_x0000_s31768"/>
                </a:ext>
                <a:ext uri="{FF2B5EF4-FFF2-40B4-BE49-F238E27FC236}">
                  <a16:creationId xmlns:a16="http://schemas.microsoft.com/office/drawing/2014/main" id="{00000000-0008-0000-0300-00001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</xdr:row>
          <xdr:rowOff>19050</xdr:rowOff>
        </xdr:from>
        <xdr:to>
          <xdr:col>9</xdr:col>
          <xdr:colOff>19050</xdr:colOff>
          <xdr:row>34</xdr:row>
          <xdr:rowOff>190500</xdr:rowOff>
        </xdr:to>
        <xdr:sp macro="" textlink="">
          <xdr:nvSpPr>
            <xdr:cNvPr id="31769" name="Check Box 25" hidden="1">
              <a:extLst>
                <a:ext uri="{63B3BB69-23CF-44E3-9099-C40C66FF867C}">
                  <a14:compatExt spid="_x0000_s31769"/>
                </a:ext>
                <a:ext uri="{FF2B5EF4-FFF2-40B4-BE49-F238E27FC236}">
                  <a16:creationId xmlns:a16="http://schemas.microsoft.com/office/drawing/2014/main" id="{00000000-0008-0000-0300-00001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</xdr:row>
          <xdr:rowOff>19050</xdr:rowOff>
        </xdr:from>
        <xdr:to>
          <xdr:col>9</xdr:col>
          <xdr:colOff>19050</xdr:colOff>
          <xdr:row>35</xdr:row>
          <xdr:rowOff>190500</xdr:rowOff>
        </xdr:to>
        <xdr:sp macro="" textlink="">
          <xdr:nvSpPr>
            <xdr:cNvPr id="31770" name="Check Box 26" hidden="1">
              <a:extLst>
                <a:ext uri="{63B3BB69-23CF-44E3-9099-C40C66FF867C}">
                  <a14:compatExt spid="_x0000_s31770"/>
                </a:ext>
                <a:ext uri="{FF2B5EF4-FFF2-40B4-BE49-F238E27FC236}">
                  <a16:creationId xmlns:a16="http://schemas.microsoft.com/office/drawing/2014/main" id="{00000000-0008-0000-0300-00001A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32</xdr:row>
          <xdr:rowOff>22860</xdr:rowOff>
        </xdr:from>
        <xdr:to>
          <xdr:col>15</xdr:col>
          <xdr:colOff>15240</xdr:colOff>
          <xdr:row>34</xdr:row>
          <xdr:rowOff>190500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pSpPr/>
          </xdr:nvGrpSpPr>
          <xdr:grpSpPr>
            <a:xfrm>
              <a:off x="3152775" y="8395335"/>
              <a:ext cx="215265" cy="624840"/>
              <a:chOff x="3291840" y="8336280"/>
              <a:chExt cx="205740" cy="624840"/>
            </a:xfrm>
          </xdr:grpSpPr>
          <xdr:sp macro="" textlink="">
            <xdr:nvSpPr>
              <xdr:cNvPr id="31771" name="Check Box 27" hidden="1">
                <a:extLst>
                  <a:ext uri="{63B3BB69-23CF-44E3-9099-C40C66FF867C}">
                    <a14:compatExt spid="_x0000_s31771"/>
                  </a:ext>
                  <a:ext uri="{FF2B5EF4-FFF2-40B4-BE49-F238E27FC236}">
                    <a16:creationId xmlns:a16="http://schemas.microsoft.com/office/drawing/2014/main" id="{00000000-0008-0000-0300-00001B7C0000}"/>
                  </a:ext>
                </a:extLst>
              </xdr:cNvPr>
              <xdr:cNvSpPr/>
            </xdr:nvSpPr>
            <xdr:spPr bwMode="auto">
              <a:xfrm>
                <a:off x="3291840" y="83362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72" name="Check Box 28" hidden="1">
                <a:extLst>
                  <a:ext uri="{63B3BB69-23CF-44E3-9099-C40C66FF867C}">
                    <a14:compatExt spid="_x0000_s31772"/>
                  </a:ext>
                  <a:ext uri="{FF2B5EF4-FFF2-40B4-BE49-F238E27FC236}">
                    <a16:creationId xmlns:a16="http://schemas.microsoft.com/office/drawing/2014/main" id="{00000000-0008-0000-0300-00001C7C0000}"/>
                  </a:ext>
                </a:extLst>
              </xdr:cNvPr>
              <xdr:cNvSpPr/>
            </xdr:nvSpPr>
            <xdr:spPr bwMode="auto">
              <a:xfrm>
                <a:off x="3291840" y="87934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73" name="Check Box 29" hidden="1">
                <a:extLst>
                  <a:ext uri="{63B3BB69-23CF-44E3-9099-C40C66FF867C}">
                    <a14:compatExt spid="_x0000_s31773"/>
                  </a:ext>
                  <a:ext uri="{FF2B5EF4-FFF2-40B4-BE49-F238E27FC236}">
                    <a16:creationId xmlns:a16="http://schemas.microsoft.com/office/drawing/2014/main" id="{00000000-0008-0000-0300-00001D7C0000}"/>
                  </a:ext>
                </a:extLst>
              </xdr:cNvPr>
              <xdr:cNvSpPr/>
            </xdr:nvSpPr>
            <xdr:spPr bwMode="auto">
              <a:xfrm>
                <a:off x="3291840" y="85648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19050</xdr:rowOff>
        </xdr:from>
        <xdr:to>
          <xdr:col>2</xdr:col>
          <xdr:colOff>0</xdr:colOff>
          <xdr:row>42</xdr:row>
          <xdr:rowOff>190500</xdr:rowOff>
        </xdr:to>
        <xdr:sp macro="" textlink="">
          <xdr:nvSpPr>
            <xdr:cNvPr id="31774" name="Check Box 30" hidden="1">
              <a:extLst>
                <a:ext uri="{63B3BB69-23CF-44E3-9099-C40C66FF867C}">
                  <a14:compatExt spid="_x0000_s31774"/>
                </a:ext>
                <a:ext uri="{FF2B5EF4-FFF2-40B4-BE49-F238E27FC236}">
                  <a16:creationId xmlns:a16="http://schemas.microsoft.com/office/drawing/2014/main" id="{00000000-0008-0000-0300-00001E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19050</xdr:rowOff>
        </xdr:from>
        <xdr:to>
          <xdr:col>2</xdr:col>
          <xdr:colOff>0</xdr:colOff>
          <xdr:row>43</xdr:row>
          <xdr:rowOff>190500</xdr:rowOff>
        </xdr:to>
        <xdr:sp macro="" textlink="">
          <xdr:nvSpPr>
            <xdr:cNvPr id="31775" name="Check Box 31" hidden="1">
              <a:extLst>
                <a:ext uri="{63B3BB69-23CF-44E3-9099-C40C66FF867C}">
                  <a14:compatExt spid="_x0000_s31775"/>
                </a:ext>
                <a:ext uri="{FF2B5EF4-FFF2-40B4-BE49-F238E27FC236}">
                  <a16:creationId xmlns:a16="http://schemas.microsoft.com/office/drawing/2014/main" id="{00000000-0008-0000-0300-00001F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42</xdr:row>
          <xdr:rowOff>22860</xdr:rowOff>
        </xdr:from>
        <xdr:to>
          <xdr:col>14</xdr:col>
          <xdr:colOff>7620</xdr:colOff>
          <xdr:row>43</xdr:row>
          <xdr:rowOff>190500</xdr:rowOff>
        </xdr:to>
        <xdr:grpSp>
          <xdr:nvGrpSpPr>
            <xdr:cNvPr id="4" name="그룹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pSpPr/>
          </xdr:nvGrpSpPr>
          <xdr:grpSpPr>
            <a:xfrm>
              <a:off x="2947035" y="11081385"/>
              <a:ext cx="213360" cy="396240"/>
              <a:chOff x="3086100" y="11696700"/>
              <a:chExt cx="205740" cy="396240"/>
            </a:xfrm>
          </xdr:grpSpPr>
          <xdr:sp macro="" textlink="">
            <xdr:nvSpPr>
              <xdr:cNvPr id="31776" name="Check Box 32" hidden="1">
                <a:extLst>
                  <a:ext uri="{63B3BB69-23CF-44E3-9099-C40C66FF867C}">
                    <a14:compatExt spid="_x0000_s31776"/>
                  </a:ext>
                  <a:ext uri="{FF2B5EF4-FFF2-40B4-BE49-F238E27FC236}">
                    <a16:creationId xmlns:a16="http://schemas.microsoft.com/office/drawing/2014/main" id="{00000000-0008-0000-0300-0000207C0000}"/>
                  </a:ext>
                </a:extLst>
              </xdr:cNvPr>
              <xdr:cNvSpPr/>
            </xdr:nvSpPr>
            <xdr:spPr bwMode="auto">
              <a:xfrm>
                <a:off x="3086100" y="1169670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77" name="Check Box 33" hidden="1">
                <a:extLst>
                  <a:ext uri="{63B3BB69-23CF-44E3-9099-C40C66FF867C}">
                    <a14:compatExt spid="_x0000_s31777"/>
                  </a:ext>
                  <a:ext uri="{FF2B5EF4-FFF2-40B4-BE49-F238E27FC236}">
                    <a16:creationId xmlns:a16="http://schemas.microsoft.com/office/drawing/2014/main" id="{00000000-0008-0000-0300-0000217C0000}"/>
                  </a:ext>
                </a:extLst>
              </xdr:cNvPr>
              <xdr:cNvSpPr/>
            </xdr:nvSpPr>
            <xdr:spPr bwMode="auto">
              <a:xfrm>
                <a:off x="3086100" y="1192530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</xdr:row>
          <xdr:rowOff>19050</xdr:rowOff>
        </xdr:from>
        <xdr:to>
          <xdr:col>2</xdr:col>
          <xdr:colOff>0</xdr:colOff>
          <xdr:row>52</xdr:row>
          <xdr:rowOff>190500</xdr:rowOff>
        </xdr:to>
        <xdr:sp macro="" textlink="">
          <xdr:nvSpPr>
            <xdr:cNvPr id="31778" name="Check Box 34" hidden="1">
              <a:extLst>
                <a:ext uri="{63B3BB69-23CF-44E3-9099-C40C66FF867C}">
                  <a14:compatExt spid="_x0000_s31778"/>
                </a:ext>
                <a:ext uri="{FF2B5EF4-FFF2-40B4-BE49-F238E27FC236}">
                  <a16:creationId xmlns:a16="http://schemas.microsoft.com/office/drawing/2014/main" id="{00000000-0008-0000-0300-00002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19050</xdr:rowOff>
        </xdr:from>
        <xdr:to>
          <xdr:col>2</xdr:col>
          <xdr:colOff>0</xdr:colOff>
          <xdr:row>53</xdr:row>
          <xdr:rowOff>190500</xdr:rowOff>
        </xdr:to>
        <xdr:sp macro="" textlink="">
          <xdr:nvSpPr>
            <xdr:cNvPr id="31779" name="Check Box 35" hidden="1">
              <a:extLst>
                <a:ext uri="{63B3BB69-23CF-44E3-9099-C40C66FF867C}">
                  <a14:compatExt spid="_x0000_s31779"/>
                </a:ext>
                <a:ext uri="{FF2B5EF4-FFF2-40B4-BE49-F238E27FC236}">
                  <a16:creationId xmlns:a16="http://schemas.microsoft.com/office/drawing/2014/main" id="{00000000-0008-0000-0300-00002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19050</xdr:rowOff>
        </xdr:from>
        <xdr:to>
          <xdr:col>2</xdr:col>
          <xdr:colOff>0</xdr:colOff>
          <xdr:row>54</xdr:row>
          <xdr:rowOff>190500</xdr:rowOff>
        </xdr:to>
        <xdr:sp macro="" textlink="">
          <xdr:nvSpPr>
            <xdr:cNvPr id="31780" name="Check Box 36" hidden="1">
              <a:extLst>
                <a:ext uri="{63B3BB69-23CF-44E3-9099-C40C66FF867C}">
                  <a14:compatExt spid="_x0000_s31780"/>
                </a:ext>
                <a:ext uri="{FF2B5EF4-FFF2-40B4-BE49-F238E27FC236}">
                  <a16:creationId xmlns:a16="http://schemas.microsoft.com/office/drawing/2014/main" id="{00000000-0008-0000-0300-00002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52</xdr:row>
          <xdr:rowOff>22860</xdr:rowOff>
        </xdr:from>
        <xdr:to>
          <xdr:col>10</xdr:col>
          <xdr:colOff>7620</xdr:colOff>
          <xdr:row>54</xdr:row>
          <xdr:rowOff>190500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pSpPr/>
          </xdr:nvGrpSpPr>
          <xdr:grpSpPr>
            <a:xfrm>
              <a:off x="2078355" y="13634085"/>
              <a:ext cx="215265" cy="624840"/>
              <a:chOff x="2316480" y="14531340"/>
              <a:chExt cx="205740" cy="624840"/>
            </a:xfrm>
          </xdr:grpSpPr>
          <xdr:sp macro="" textlink="">
            <xdr:nvSpPr>
              <xdr:cNvPr id="31781" name="Check Box 37" hidden="1">
                <a:extLst>
                  <a:ext uri="{63B3BB69-23CF-44E3-9099-C40C66FF867C}">
                    <a14:compatExt spid="_x0000_s31781"/>
                  </a:ext>
                  <a:ext uri="{FF2B5EF4-FFF2-40B4-BE49-F238E27FC236}">
                    <a16:creationId xmlns:a16="http://schemas.microsoft.com/office/drawing/2014/main" id="{00000000-0008-0000-0300-0000257C0000}"/>
                  </a:ext>
                </a:extLst>
              </xdr:cNvPr>
              <xdr:cNvSpPr/>
            </xdr:nvSpPr>
            <xdr:spPr bwMode="auto">
              <a:xfrm>
                <a:off x="2316480" y="145313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82" name="Check Box 38" hidden="1">
                <a:extLst>
                  <a:ext uri="{63B3BB69-23CF-44E3-9099-C40C66FF867C}">
                    <a14:compatExt spid="_x0000_s31782"/>
                  </a:ext>
                  <a:ext uri="{FF2B5EF4-FFF2-40B4-BE49-F238E27FC236}">
                    <a16:creationId xmlns:a16="http://schemas.microsoft.com/office/drawing/2014/main" id="{00000000-0008-0000-0300-0000267C0000}"/>
                  </a:ext>
                </a:extLst>
              </xdr:cNvPr>
              <xdr:cNvSpPr/>
            </xdr:nvSpPr>
            <xdr:spPr bwMode="auto">
              <a:xfrm>
                <a:off x="2316480" y="147599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83" name="Check Box 39" hidden="1">
                <a:extLst>
                  <a:ext uri="{63B3BB69-23CF-44E3-9099-C40C66FF867C}">
                    <a14:compatExt spid="_x0000_s31783"/>
                  </a:ext>
                  <a:ext uri="{FF2B5EF4-FFF2-40B4-BE49-F238E27FC236}">
                    <a16:creationId xmlns:a16="http://schemas.microsoft.com/office/drawing/2014/main" id="{00000000-0008-0000-0300-0000277C0000}"/>
                  </a:ext>
                </a:extLst>
              </xdr:cNvPr>
              <xdr:cNvSpPr/>
            </xdr:nvSpPr>
            <xdr:spPr bwMode="auto">
              <a:xfrm>
                <a:off x="2316480" y="149885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53</xdr:row>
          <xdr:rowOff>22860</xdr:rowOff>
        </xdr:from>
        <xdr:to>
          <xdr:col>17</xdr:col>
          <xdr:colOff>167640</xdr:colOff>
          <xdr:row>54</xdr:row>
          <xdr:rowOff>190500</xdr:rowOff>
        </xdr:to>
        <xdr:grpSp>
          <xdr:nvGrpSpPr>
            <xdr:cNvPr id="6" name="그룹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pSpPr/>
          </xdr:nvGrpSpPr>
          <xdr:grpSpPr>
            <a:xfrm>
              <a:off x="3735705" y="13862685"/>
              <a:ext cx="184785" cy="396240"/>
              <a:chOff x="3649980" y="14813280"/>
              <a:chExt cx="205740" cy="396240"/>
            </a:xfrm>
          </xdr:grpSpPr>
          <xdr:sp macro="" textlink="">
            <xdr:nvSpPr>
              <xdr:cNvPr id="31784" name="Check Box 40" hidden="1">
                <a:extLst>
                  <a:ext uri="{63B3BB69-23CF-44E3-9099-C40C66FF867C}">
                    <a14:compatExt spid="_x0000_s31784"/>
                  </a:ext>
                  <a:ext uri="{FF2B5EF4-FFF2-40B4-BE49-F238E27FC236}">
                    <a16:creationId xmlns:a16="http://schemas.microsoft.com/office/drawing/2014/main" id="{00000000-0008-0000-0300-0000287C0000}"/>
                  </a:ext>
                </a:extLst>
              </xdr:cNvPr>
              <xdr:cNvSpPr/>
            </xdr:nvSpPr>
            <xdr:spPr bwMode="auto">
              <a:xfrm>
                <a:off x="3649980" y="148132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85" name="Check Box 41" hidden="1">
                <a:extLst>
                  <a:ext uri="{63B3BB69-23CF-44E3-9099-C40C66FF867C}">
                    <a14:compatExt spid="_x0000_s31785"/>
                  </a:ext>
                  <a:ext uri="{FF2B5EF4-FFF2-40B4-BE49-F238E27FC236}">
                    <a16:creationId xmlns:a16="http://schemas.microsoft.com/office/drawing/2014/main" id="{00000000-0008-0000-0300-0000297C0000}"/>
                  </a:ext>
                </a:extLst>
              </xdr:cNvPr>
              <xdr:cNvSpPr/>
            </xdr:nvSpPr>
            <xdr:spPr bwMode="auto">
              <a:xfrm>
                <a:off x="3649980" y="1504188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19050</xdr:rowOff>
        </xdr:from>
        <xdr:to>
          <xdr:col>2</xdr:col>
          <xdr:colOff>0</xdr:colOff>
          <xdr:row>63</xdr:row>
          <xdr:rowOff>190500</xdr:rowOff>
        </xdr:to>
        <xdr:sp macro="" textlink="">
          <xdr:nvSpPr>
            <xdr:cNvPr id="31786" name="Check Box 42" hidden="1">
              <a:extLst>
                <a:ext uri="{63B3BB69-23CF-44E3-9099-C40C66FF867C}">
                  <a14:compatExt spid="_x0000_s31786"/>
                </a:ext>
                <a:ext uri="{FF2B5EF4-FFF2-40B4-BE49-F238E27FC236}">
                  <a16:creationId xmlns:a16="http://schemas.microsoft.com/office/drawing/2014/main" id="{00000000-0008-0000-0300-00002A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64</xdr:row>
          <xdr:rowOff>19050</xdr:rowOff>
        </xdr:from>
        <xdr:to>
          <xdr:col>2</xdr:col>
          <xdr:colOff>0</xdr:colOff>
          <xdr:row>64</xdr:row>
          <xdr:rowOff>190500</xdr:rowOff>
        </xdr:to>
        <xdr:sp macro="" textlink="">
          <xdr:nvSpPr>
            <xdr:cNvPr id="31787" name="Check Box 43" hidden="1">
              <a:extLst>
                <a:ext uri="{63B3BB69-23CF-44E3-9099-C40C66FF867C}">
                  <a14:compatExt spid="_x0000_s31787"/>
                </a:ext>
                <a:ext uri="{FF2B5EF4-FFF2-40B4-BE49-F238E27FC236}">
                  <a16:creationId xmlns:a16="http://schemas.microsoft.com/office/drawing/2014/main" id="{00000000-0008-0000-0300-00002B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65</xdr:row>
          <xdr:rowOff>19050</xdr:rowOff>
        </xdr:from>
        <xdr:to>
          <xdr:col>2</xdr:col>
          <xdr:colOff>0</xdr:colOff>
          <xdr:row>65</xdr:row>
          <xdr:rowOff>190500</xdr:rowOff>
        </xdr:to>
        <xdr:sp macro="" textlink="">
          <xdr:nvSpPr>
            <xdr:cNvPr id="31788" name="Check Box 44" hidden="1">
              <a:extLst>
                <a:ext uri="{63B3BB69-23CF-44E3-9099-C40C66FF867C}">
                  <a14:compatExt spid="_x0000_s31788"/>
                </a:ext>
                <a:ext uri="{FF2B5EF4-FFF2-40B4-BE49-F238E27FC236}">
                  <a16:creationId xmlns:a16="http://schemas.microsoft.com/office/drawing/2014/main" id="{00000000-0008-0000-0300-00002C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182880</xdr:colOff>
          <xdr:row>63</xdr:row>
          <xdr:rowOff>30480</xdr:rowOff>
        </xdr:from>
        <xdr:to>
          <xdr:col>11</xdr:col>
          <xdr:colOff>190500</xdr:colOff>
          <xdr:row>65</xdr:row>
          <xdr:rowOff>198120</xdr:rowOff>
        </xdr:to>
        <xdr:grpSp>
          <xdr:nvGrpSpPr>
            <xdr:cNvPr id="7" name="그룹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pSpPr/>
          </xdr:nvGrpSpPr>
          <xdr:grpSpPr>
            <a:xfrm>
              <a:off x="2468880" y="16603980"/>
              <a:ext cx="207645" cy="624840"/>
              <a:chOff x="2697480" y="18074640"/>
              <a:chExt cx="205740" cy="624840"/>
            </a:xfrm>
          </xdr:grpSpPr>
          <xdr:sp macro="" textlink="">
            <xdr:nvSpPr>
              <xdr:cNvPr id="31789" name="Check Box 45" hidden="1">
                <a:extLst>
                  <a:ext uri="{63B3BB69-23CF-44E3-9099-C40C66FF867C}">
                    <a14:compatExt spid="_x0000_s31789"/>
                  </a:ext>
                  <a:ext uri="{FF2B5EF4-FFF2-40B4-BE49-F238E27FC236}">
                    <a16:creationId xmlns:a16="http://schemas.microsoft.com/office/drawing/2014/main" id="{00000000-0008-0000-0300-00002D7C0000}"/>
                  </a:ext>
                </a:extLst>
              </xdr:cNvPr>
              <xdr:cNvSpPr/>
            </xdr:nvSpPr>
            <xdr:spPr bwMode="auto">
              <a:xfrm>
                <a:off x="2697480" y="180746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90" name="Check Box 46" hidden="1">
                <a:extLst>
                  <a:ext uri="{63B3BB69-23CF-44E3-9099-C40C66FF867C}">
                    <a14:compatExt spid="_x0000_s31790"/>
                  </a:ext>
                  <a:ext uri="{FF2B5EF4-FFF2-40B4-BE49-F238E27FC236}">
                    <a16:creationId xmlns:a16="http://schemas.microsoft.com/office/drawing/2014/main" id="{00000000-0008-0000-0300-00002E7C0000}"/>
                  </a:ext>
                </a:extLst>
              </xdr:cNvPr>
              <xdr:cNvSpPr/>
            </xdr:nvSpPr>
            <xdr:spPr bwMode="auto">
              <a:xfrm>
                <a:off x="2697480" y="1853184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791" name="Check Box 47" hidden="1">
                <a:extLst>
                  <a:ext uri="{63B3BB69-23CF-44E3-9099-C40C66FF867C}">
                    <a14:compatExt spid="_x0000_s31791"/>
                  </a:ext>
                  <a:ext uri="{FF2B5EF4-FFF2-40B4-BE49-F238E27FC236}">
                    <a16:creationId xmlns:a16="http://schemas.microsoft.com/office/drawing/2014/main" id="{00000000-0008-0000-0300-00002F7C0000}"/>
                  </a:ext>
                </a:extLst>
              </xdr:cNvPr>
              <xdr:cNvSpPr/>
            </xdr:nvSpPr>
            <xdr:spPr bwMode="auto">
              <a:xfrm>
                <a:off x="2697480" y="18295620"/>
                <a:ext cx="205740" cy="1676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123825</xdr:colOff>
          <xdr:row>64</xdr:row>
          <xdr:rowOff>19050</xdr:rowOff>
        </xdr:from>
        <xdr:to>
          <xdr:col>19</xdr:col>
          <xdr:colOff>0</xdr:colOff>
          <xdr:row>64</xdr:row>
          <xdr:rowOff>180975</xdr:rowOff>
        </xdr:to>
        <xdr:sp macro="" textlink="">
          <xdr:nvSpPr>
            <xdr:cNvPr id="31792" name="Check Box 48" hidden="1">
              <a:extLst>
                <a:ext uri="{63B3BB69-23CF-44E3-9099-C40C66FF867C}">
                  <a14:compatExt spid="_x0000_s31792"/>
                </a:ext>
                <a:ext uri="{FF2B5EF4-FFF2-40B4-BE49-F238E27FC236}">
                  <a16:creationId xmlns:a16="http://schemas.microsoft.com/office/drawing/2014/main" id="{00000000-0008-0000-0300-000030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38100</xdr:rowOff>
        </xdr:from>
        <xdr:to>
          <xdr:col>1</xdr:col>
          <xdr:colOff>323850</xdr:colOff>
          <xdr:row>5</xdr:row>
          <xdr:rowOff>209550</xdr:rowOff>
        </xdr:to>
        <xdr:sp macro="" textlink="">
          <xdr:nvSpPr>
            <xdr:cNvPr id="32769" name="Check Box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4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38100</xdr:rowOff>
        </xdr:from>
        <xdr:to>
          <xdr:col>1</xdr:col>
          <xdr:colOff>323850</xdr:colOff>
          <xdr:row>6</xdr:row>
          <xdr:rowOff>209550</xdr:rowOff>
        </xdr:to>
        <xdr:sp macro="" textlink="">
          <xdr:nvSpPr>
            <xdr:cNvPr id="32770" name="Check Box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4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38100</xdr:rowOff>
        </xdr:from>
        <xdr:to>
          <xdr:col>1</xdr:col>
          <xdr:colOff>323850</xdr:colOff>
          <xdr:row>8</xdr:row>
          <xdr:rowOff>209550</xdr:rowOff>
        </xdr:to>
        <xdr:sp macro="" textlink="">
          <xdr:nvSpPr>
            <xdr:cNvPr id="32771" name="Check Box 3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04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38100</xdr:rowOff>
        </xdr:from>
        <xdr:to>
          <xdr:col>1</xdr:col>
          <xdr:colOff>323850</xdr:colOff>
          <xdr:row>7</xdr:row>
          <xdr:rowOff>209550</xdr:rowOff>
        </xdr:to>
        <xdr:sp macro="" textlink="">
          <xdr:nvSpPr>
            <xdr:cNvPr id="32772" name="Check Box 4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00000000-0008-0000-0400-000004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8.xml"/><Relationship Id="rId18" Type="http://schemas.openxmlformats.org/officeDocument/2006/relationships/ctrlProp" Target="../ctrlProps/ctrlProp53.xml"/><Relationship Id="rId26" Type="http://schemas.openxmlformats.org/officeDocument/2006/relationships/ctrlProp" Target="../ctrlProps/ctrlProp61.xml"/><Relationship Id="rId39" Type="http://schemas.openxmlformats.org/officeDocument/2006/relationships/ctrlProp" Target="../ctrlProps/ctrlProp74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56.xml"/><Relationship Id="rId34" Type="http://schemas.openxmlformats.org/officeDocument/2006/relationships/ctrlProp" Target="../ctrlProps/ctrlProp69.xml"/><Relationship Id="rId42" Type="http://schemas.openxmlformats.org/officeDocument/2006/relationships/ctrlProp" Target="../ctrlProps/ctrlProp77.xml"/><Relationship Id="rId47" Type="http://schemas.openxmlformats.org/officeDocument/2006/relationships/ctrlProp" Target="../ctrlProps/ctrlProp82.xml"/><Relationship Id="rId50" Type="http://schemas.openxmlformats.org/officeDocument/2006/relationships/ctrlProp" Target="../ctrlProps/ctrlProp85.xml"/><Relationship Id="rId7" Type="http://schemas.openxmlformats.org/officeDocument/2006/relationships/ctrlProp" Target="../ctrlProps/ctrlProp42.xml"/><Relationship Id="rId12" Type="http://schemas.openxmlformats.org/officeDocument/2006/relationships/ctrlProp" Target="../ctrlProps/ctrlProp47.xml"/><Relationship Id="rId17" Type="http://schemas.openxmlformats.org/officeDocument/2006/relationships/ctrlProp" Target="../ctrlProps/ctrlProp52.xml"/><Relationship Id="rId25" Type="http://schemas.openxmlformats.org/officeDocument/2006/relationships/ctrlProp" Target="../ctrlProps/ctrlProp60.xml"/><Relationship Id="rId33" Type="http://schemas.openxmlformats.org/officeDocument/2006/relationships/ctrlProp" Target="../ctrlProps/ctrlProp68.xml"/><Relationship Id="rId38" Type="http://schemas.openxmlformats.org/officeDocument/2006/relationships/ctrlProp" Target="../ctrlProps/ctrlProp73.xml"/><Relationship Id="rId46" Type="http://schemas.openxmlformats.org/officeDocument/2006/relationships/ctrlProp" Target="../ctrlProps/ctrlProp8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1.xml"/><Relationship Id="rId20" Type="http://schemas.openxmlformats.org/officeDocument/2006/relationships/ctrlProp" Target="../ctrlProps/ctrlProp55.xml"/><Relationship Id="rId29" Type="http://schemas.openxmlformats.org/officeDocument/2006/relationships/ctrlProp" Target="../ctrlProps/ctrlProp64.xml"/><Relationship Id="rId41" Type="http://schemas.openxmlformats.org/officeDocument/2006/relationships/ctrlProp" Target="../ctrlProps/ctrlProp7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1.xml"/><Relationship Id="rId11" Type="http://schemas.openxmlformats.org/officeDocument/2006/relationships/ctrlProp" Target="../ctrlProps/ctrlProp46.xml"/><Relationship Id="rId24" Type="http://schemas.openxmlformats.org/officeDocument/2006/relationships/ctrlProp" Target="../ctrlProps/ctrlProp59.xml"/><Relationship Id="rId32" Type="http://schemas.openxmlformats.org/officeDocument/2006/relationships/ctrlProp" Target="../ctrlProps/ctrlProp67.xml"/><Relationship Id="rId37" Type="http://schemas.openxmlformats.org/officeDocument/2006/relationships/ctrlProp" Target="../ctrlProps/ctrlProp72.xml"/><Relationship Id="rId40" Type="http://schemas.openxmlformats.org/officeDocument/2006/relationships/ctrlProp" Target="../ctrlProps/ctrlProp75.xml"/><Relationship Id="rId45" Type="http://schemas.openxmlformats.org/officeDocument/2006/relationships/ctrlProp" Target="../ctrlProps/ctrlProp80.xml"/><Relationship Id="rId5" Type="http://schemas.openxmlformats.org/officeDocument/2006/relationships/ctrlProp" Target="../ctrlProps/ctrlProp40.xml"/><Relationship Id="rId15" Type="http://schemas.openxmlformats.org/officeDocument/2006/relationships/ctrlProp" Target="../ctrlProps/ctrlProp50.xml"/><Relationship Id="rId23" Type="http://schemas.openxmlformats.org/officeDocument/2006/relationships/ctrlProp" Target="../ctrlProps/ctrlProp58.xml"/><Relationship Id="rId28" Type="http://schemas.openxmlformats.org/officeDocument/2006/relationships/ctrlProp" Target="../ctrlProps/ctrlProp63.xml"/><Relationship Id="rId36" Type="http://schemas.openxmlformats.org/officeDocument/2006/relationships/ctrlProp" Target="../ctrlProps/ctrlProp71.xml"/><Relationship Id="rId49" Type="http://schemas.openxmlformats.org/officeDocument/2006/relationships/ctrlProp" Target="../ctrlProps/ctrlProp84.xml"/><Relationship Id="rId10" Type="http://schemas.openxmlformats.org/officeDocument/2006/relationships/ctrlProp" Target="../ctrlProps/ctrlProp45.xml"/><Relationship Id="rId19" Type="http://schemas.openxmlformats.org/officeDocument/2006/relationships/ctrlProp" Target="../ctrlProps/ctrlProp54.xml"/><Relationship Id="rId31" Type="http://schemas.openxmlformats.org/officeDocument/2006/relationships/ctrlProp" Target="../ctrlProps/ctrlProp66.xml"/><Relationship Id="rId44" Type="http://schemas.openxmlformats.org/officeDocument/2006/relationships/ctrlProp" Target="../ctrlProps/ctrlProp79.xml"/><Relationship Id="rId4" Type="http://schemas.openxmlformats.org/officeDocument/2006/relationships/ctrlProp" Target="../ctrlProps/ctrlProp39.xml"/><Relationship Id="rId9" Type="http://schemas.openxmlformats.org/officeDocument/2006/relationships/ctrlProp" Target="../ctrlProps/ctrlProp44.xml"/><Relationship Id="rId14" Type="http://schemas.openxmlformats.org/officeDocument/2006/relationships/ctrlProp" Target="../ctrlProps/ctrlProp49.xml"/><Relationship Id="rId22" Type="http://schemas.openxmlformats.org/officeDocument/2006/relationships/ctrlProp" Target="../ctrlProps/ctrlProp57.xml"/><Relationship Id="rId27" Type="http://schemas.openxmlformats.org/officeDocument/2006/relationships/ctrlProp" Target="../ctrlProps/ctrlProp62.xml"/><Relationship Id="rId30" Type="http://schemas.openxmlformats.org/officeDocument/2006/relationships/ctrlProp" Target="../ctrlProps/ctrlProp65.xml"/><Relationship Id="rId35" Type="http://schemas.openxmlformats.org/officeDocument/2006/relationships/ctrlProp" Target="../ctrlProps/ctrlProp70.xml"/><Relationship Id="rId43" Type="http://schemas.openxmlformats.org/officeDocument/2006/relationships/ctrlProp" Target="../ctrlProps/ctrlProp78.xml"/><Relationship Id="rId48" Type="http://schemas.openxmlformats.org/officeDocument/2006/relationships/ctrlProp" Target="../ctrlProps/ctrlProp83.xml"/><Relationship Id="rId8" Type="http://schemas.openxmlformats.org/officeDocument/2006/relationships/ctrlProp" Target="../ctrlProps/ctrlProp43.xml"/><Relationship Id="rId51" Type="http://schemas.openxmlformats.org/officeDocument/2006/relationships/ctrlProp" Target="../ctrlProps/ctrlProp8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9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9.xml"/><Relationship Id="rId5" Type="http://schemas.openxmlformats.org/officeDocument/2006/relationships/ctrlProp" Target="../ctrlProps/ctrlProp88.xml"/><Relationship Id="rId4" Type="http://schemas.openxmlformats.org/officeDocument/2006/relationships/ctrlProp" Target="../ctrlProps/ctrlProp8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0.xml"/><Relationship Id="rId18" Type="http://schemas.openxmlformats.org/officeDocument/2006/relationships/ctrlProp" Target="../ctrlProps/ctrlProp105.xml"/><Relationship Id="rId26" Type="http://schemas.openxmlformats.org/officeDocument/2006/relationships/ctrlProp" Target="../ctrlProps/ctrlProp113.xml"/><Relationship Id="rId39" Type="http://schemas.openxmlformats.org/officeDocument/2006/relationships/ctrlProp" Target="../ctrlProps/ctrlProp126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08.xml"/><Relationship Id="rId34" Type="http://schemas.openxmlformats.org/officeDocument/2006/relationships/ctrlProp" Target="../ctrlProps/ctrlProp121.xml"/><Relationship Id="rId42" Type="http://schemas.openxmlformats.org/officeDocument/2006/relationships/ctrlProp" Target="../ctrlProps/ctrlProp129.xml"/><Relationship Id="rId47" Type="http://schemas.openxmlformats.org/officeDocument/2006/relationships/ctrlProp" Target="../ctrlProps/ctrlProp134.xml"/><Relationship Id="rId50" Type="http://schemas.openxmlformats.org/officeDocument/2006/relationships/ctrlProp" Target="../ctrlProps/ctrlProp137.xml"/><Relationship Id="rId7" Type="http://schemas.openxmlformats.org/officeDocument/2006/relationships/ctrlProp" Target="../ctrlProps/ctrlProp94.xml"/><Relationship Id="rId12" Type="http://schemas.openxmlformats.org/officeDocument/2006/relationships/ctrlProp" Target="../ctrlProps/ctrlProp99.xml"/><Relationship Id="rId17" Type="http://schemas.openxmlformats.org/officeDocument/2006/relationships/ctrlProp" Target="../ctrlProps/ctrlProp104.xml"/><Relationship Id="rId25" Type="http://schemas.openxmlformats.org/officeDocument/2006/relationships/ctrlProp" Target="../ctrlProps/ctrlProp112.xml"/><Relationship Id="rId33" Type="http://schemas.openxmlformats.org/officeDocument/2006/relationships/ctrlProp" Target="../ctrlProps/ctrlProp120.xml"/><Relationship Id="rId38" Type="http://schemas.openxmlformats.org/officeDocument/2006/relationships/ctrlProp" Target="../ctrlProps/ctrlProp125.xml"/><Relationship Id="rId46" Type="http://schemas.openxmlformats.org/officeDocument/2006/relationships/ctrlProp" Target="../ctrlProps/ctrlProp133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03.xml"/><Relationship Id="rId20" Type="http://schemas.openxmlformats.org/officeDocument/2006/relationships/ctrlProp" Target="../ctrlProps/ctrlProp107.xml"/><Relationship Id="rId29" Type="http://schemas.openxmlformats.org/officeDocument/2006/relationships/ctrlProp" Target="../ctrlProps/ctrlProp116.xml"/><Relationship Id="rId41" Type="http://schemas.openxmlformats.org/officeDocument/2006/relationships/ctrlProp" Target="../ctrlProps/ctrlProp12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93.xml"/><Relationship Id="rId11" Type="http://schemas.openxmlformats.org/officeDocument/2006/relationships/ctrlProp" Target="../ctrlProps/ctrlProp98.xml"/><Relationship Id="rId24" Type="http://schemas.openxmlformats.org/officeDocument/2006/relationships/ctrlProp" Target="../ctrlProps/ctrlProp111.xml"/><Relationship Id="rId32" Type="http://schemas.openxmlformats.org/officeDocument/2006/relationships/ctrlProp" Target="../ctrlProps/ctrlProp119.xml"/><Relationship Id="rId37" Type="http://schemas.openxmlformats.org/officeDocument/2006/relationships/ctrlProp" Target="../ctrlProps/ctrlProp124.xml"/><Relationship Id="rId40" Type="http://schemas.openxmlformats.org/officeDocument/2006/relationships/ctrlProp" Target="../ctrlProps/ctrlProp127.xml"/><Relationship Id="rId45" Type="http://schemas.openxmlformats.org/officeDocument/2006/relationships/ctrlProp" Target="../ctrlProps/ctrlProp132.xml"/><Relationship Id="rId5" Type="http://schemas.openxmlformats.org/officeDocument/2006/relationships/ctrlProp" Target="../ctrlProps/ctrlProp92.xml"/><Relationship Id="rId15" Type="http://schemas.openxmlformats.org/officeDocument/2006/relationships/ctrlProp" Target="../ctrlProps/ctrlProp102.xml"/><Relationship Id="rId23" Type="http://schemas.openxmlformats.org/officeDocument/2006/relationships/ctrlProp" Target="../ctrlProps/ctrlProp110.xml"/><Relationship Id="rId28" Type="http://schemas.openxmlformats.org/officeDocument/2006/relationships/ctrlProp" Target="../ctrlProps/ctrlProp115.xml"/><Relationship Id="rId36" Type="http://schemas.openxmlformats.org/officeDocument/2006/relationships/ctrlProp" Target="../ctrlProps/ctrlProp123.xml"/><Relationship Id="rId49" Type="http://schemas.openxmlformats.org/officeDocument/2006/relationships/ctrlProp" Target="../ctrlProps/ctrlProp136.xml"/><Relationship Id="rId10" Type="http://schemas.openxmlformats.org/officeDocument/2006/relationships/ctrlProp" Target="../ctrlProps/ctrlProp97.xml"/><Relationship Id="rId19" Type="http://schemas.openxmlformats.org/officeDocument/2006/relationships/ctrlProp" Target="../ctrlProps/ctrlProp106.xml"/><Relationship Id="rId31" Type="http://schemas.openxmlformats.org/officeDocument/2006/relationships/ctrlProp" Target="../ctrlProps/ctrlProp118.xml"/><Relationship Id="rId44" Type="http://schemas.openxmlformats.org/officeDocument/2006/relationships/ctrlProp" Target="../ctrlProps/ctrlProp131.xml"/><Relationship Id="rId4" Type="http://schemas.openxmlformats.org/officeDocument/2006/relationships/ctrlProp" Target="../ctrlProps/ctrlProp91.xml"/><Relationship Id="rId9" Type="http://schemas.openxmlformats.org/officeDocument/2006/relationships/ctrlProp" Target="../ctrlProps/ctrlProp96.xml"/><Relationship Id="rId14" Type="http://schemas.openxmlformats.org/officeDocument/2006/relationships/ctrlProp" Target="../ctrlProps/ctrlProp101.xml"/><Relationship Id="rId22" Type="http://schemas.openxmlformats.org/officeDocument/2006/relationships/ctrlProp" Target="../ctrlProps/ctrlProp109.xml"/><Relationship Id="rId27" Type="http://schemas.openxmlformats.org/officeDocument/2006/relationships/ctrlProp" Target="../ctrlProps/ctrlProp114.xml"/><Relationship Id="rId30" Type="http://schemas.openxmlformats.org/officeDocument/2006/relationships/ctrlProp" Target="../ctrlProps/ctrlProp117.xml"/><Relationship Id="rId35" Type="http://schemas.openxmlformats.org/officeDocument/2006/relationships/ctrlProp" Target="../ctrlProps/ctrlProp122.xml"/><Relationship Id="rId43" Type="http://schemas.openxmlformats.org/officeDocument/2006/relationships/ctrlProp" Target="../ctrlProps/ctrlProp130.xml"/><Relationship Id="rId48" Type="http://schemas.openxmlformats.org/officeDocument/2006/relationships/ctrlProp" Target="../ctrlProps/ctrlProp135.xml"/><Relationship Id="rId8" Type="http://schemas.openxmlformats.org/officeDocument/2006/relationships/ctrlProp" Target="../ctrlProps/ctrlProp95.xml"/><Relationship Id="rId51" Type="http://schemas.openxmlformats.org/officeDocument/2006/relationships/ctrlProp" Target="../ctrlProps/ctrlProp13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4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1.xml"/><Relationship Id="rId5" Type="http://schemas.openxmlformats.org/officeDocument/2006/relationships/ctrlProp" Target="../ctrlProps/ctrlProp140.xml"/><Relationship Id="rId4" Type="http://schemas.openxmlformats.org/officeDocument/2006/relationships/ctrlProp" Target="../ctrlProps/ctrlProp13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757D-3E35-496A-BA61-55826B7E167A}">
  <dimension ref="A1:AH26"/>
  <sheetViews>
    <sheetView zoomScaleNormal="100" workbookViewId="0">
      <selection activeCell="T8" sqref="T8:AD8"/>
    </sheetView>
  </sheetViews>
  <sheetFormatPr defaultColWidth="8.75" defaultRowHeight="20.45" customHeight="1"/>
  <cols>
    <col min="1" max="1" width="4" style="1" customWidth="1"/>
    <col min="2" max="2" width="11.75" style="1" customWidth="1"/>
    <col min="3" max="4" width="2.375" style="1" customWidth="1"/>
    <col min="5" max="5" width="1.875" style="1" customWidth="1"/>
    <col min="6" max="21" width="2.375" style="1" customWidth="1"/>
    <col min="22" max="22" width="3.375" style="1" customWidth="1"/>
    <col min="23" max="23" width="2.125" style="1" customWidth="1"/>
    <col min="24" max="24" width="2.625" style="1" customWidth="1"/>
    <col min="25" max="30" width="2.375" style="1" customWidth="1"/>
    <col min="31" max="16384" width="8.75" style="1"/>
  </cols>
  <sheetData>
    <row r="1" spans="1:34" s="26" customFormat="1" ht="20.45" customHeight="1" thickBot="1">
      <c r="A1" s="158"/>
      <c r="B1" s="158"/>
      <c r="C1" s="126" t="s">
        <v>70</v>
      </c>
      <c r="D1" s="126"/>
      <c r="E1" s="126"/>
      <c r="F1" s="126"/>
      <c r="G1" s="126"/>
      <c r="H1" s="127"/>
      <c r="I1" s="127"/>
      <c r="J1" s="127"/>
      <c r="K1" s="127"/>
      <c r="L1" s="127"/>
      <c r="M1" s="127"/>
      <c r="N1" s="127"/>
      <c r="O1" s="127"/>
      <c r="P1" s="126" t="s">
        <v>88</v>
      </c>
      <c r="Q1" s="126"/>
      <c r="R1" s="126"/>
      <c r="S1" s="126"/>
      <c r="T1" s="126"/>
      <c r="U1" s="127" t="s">
        <v>256</v>
      </c>
      <c r="V1" s="127"/>
      <c r="W1" s="127"/>
      <c r="X1" s="127"/>
      <c r="Y1" s="127"/>
      <c r="Z1" s="127"/>
      <c r="AA1" s="158"/>
      <c r="AB1" s="158"/>
      <c r="AC1" s="158"/>
      <c r="AD1" s="158"/>
    </row>
    <row r="2" spans="1:34" ht="7.15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</row>
    <row r="3" spans="1:34" ht="16.899999999999999" customHeight="1" thickBot="1">
      <c r="A3" s="162" t="s">
        <v>179</v>
      </c>
      <c r="B3" s="162"/>
      <c r="C3" s="159" t="s">
        <v>255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</row>
    <row r="4" spans="1:34" ht="20.45" customHeight="1" thickBot="1">
      <c r="A4" s="174"/>
      <c r="B4" s="174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89" t="s">
        <v>0</v>
      </c>
      <c r="V4" s="190"/>
      <c r="W4" s="190"/>
      <c r="X4" s="190"/>
      <c r="Y4" s="190"/>
      <c r="Z4" s="191"/>
      <c r="AA4" s="186">
        <v>1</v>
      </c>
      <c r="AB4" s="187"/>
      <c r="AC4" s="187"/>
      <c r="AD4" s="188"/>
    </row>
    <row r="5" spans="1:34" ht="22.15" customHeight="1" thickBot="1">
      <c r="A5" s="168" t="s">
        <v>172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70"/>
    </row>
    <row r="6" spans="1:34" ht="20.45" customHeight="1" thickBot="1">
      <c r="A6" s="171" t="s">
        <v>1</v>
      </c>
      <c r="B6" s="172"/>
      <c r="C6" s="6"/>
      <c r="D6" s="132" t="s">
        <v>63</v>
      </c>
      <c r="E6" s="132"/>
      <c r="F6" s="132"/>
      <c r="G6" s="173"/>
      <c r="H6" s="131"/>
      <c r="I6" s="132"/>
      <c r="J6" s="132"/>
      <c r="K6" s="132"/>
      <c r="L6" s="133" t="s">
        <v>64</v>
      </c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7" t="s">
        <v>67</v>
      </c>
      <c r="AC6" s="18"/>
      <c r="AD6" s="7" t="s">
        <v>69</v>
      </c>
    </row>
    <row r="7" spans="1:34" ht="20.45" customHeight="1">
      <c r="A7" s="164" t="s">
        <v>2</v>
      </c>
      <c r="B7" s="165"/>
      <c r="C7" s="129" t="s">
        <v>3</v>
      </c>
      <c r="D7" s="128"/>
      <c r="E7" s="128"/>
      <c r="F7" s="128"/>
      <c r="G7" s="128"/>
      <c r="H7" s="128"/>
      <c r="I7" s="128"/>
      <c r="J7" s="130"/>
      <c r="K7" s="128" t="s">
        <v>4</v>
      </c>
      <c r="L7" s="128"/>
      <c r="M7" s="128"/>
      <c r="N7" s="128"/>
      <c r="O7" s="128"/>
      <c r="P7" s="128"/>
      <c r="Q7" s="128"/>
      <c r="R7" s="128"/>
      <c r="S7" s="128"/>
      <c r="T7" s="129" t="s">
        <v>154</v>
      </c>
      <c r="U7" s="128"/>
      <c r="V7" s="128"/>
      <c r="W7" s="128"/>
      <c r="X7" s="128"/>
      <c r="Y7" s="128"/>
      <c r="Z7" s="128"/>
      <c r="AA7" s="128"/>
      <c r="AB7" s="128"/>
      <c r="AC7" s="128"/>
      <c r="AD7" s="130"/>
    </row>
    <row r="8" spans="1:34" ht="20.45" customHeight="1" thickBot="1">
      <c r="A8" s="166"/>
      <c r="B8" s="167"/>
      <c r="C8" s="175">
        <v>44935</v>
      </c>
      <c r="D8" s="124"/>
      <c r="E8" s="124"/>
      <c r="F8" s="124"/>
      <c r="G8" s="124"/>
      <c r="H8" s="124"/>
      <c r="I8" s="124"/>
      <c r="J8" s="125"/>
      <c r="K8" s="124" t="s">
        <v>247</v>
      </c>
      <c r="L8" s="124"/>
      <c r="M8" s="124"/>
      <c r="N8" s="124"/>
      <c r="O8" s="124"/>
      <c r="P8" s="124"/>
      <c r="Q8" s="124"/>
      <c r="R8" s="124"/>
      <c r="S8" s="124"/>
      <c r="T8" s="123" t="s">
        <v>248</v>
      </c>
      <c r="U8" s="124"/>
      <c r="V8" s="124"/>
      <c r="W8" s="124"/>
      <c r="X8" s="124"/>
      <c r="Y8" s="124"/>
      <c r="Z8" s="124"/>
      <c r="AA8" s="124"/>
      <c r="AB8" s="124"/>
      <c r="AC8" s="124"/>
      <c r="AD8" s="125"/>
    </row>
    <row r="9" spans="1:34" ht="20.45" customHeight="1">
      <c r="A9" s="164" t="s">
        <v>6</v>
      </c>
      <c r="B9" s="165"/>
      <c r="C9" s="129" t="s">
        <v>7</v>
      </c>
      <c r="D9" s="128"/>
      <c r="E9" s="128"/>
      <c r="F9" s="128"/>
      <c r="G9" s="128"/>
      <c r="H9" s="128"/>
      <c r="I9" s="128"/>
      <c r="J9" s="130"/>
      <c r="K9" s="128" t="s">
        <v>8</v>
      </c>
      <c r="L9" s="128"/>
      <c r="M9" s="128"/>
      <c r="N9" s="128"/>
      <c r="O9" s="128"/>
      <c r="P9" s="128"/>
      <c r="Q9" s="128"/>
      <c r="R9" s="128"/>
      <c r="S9" s="128"/>
      <c r="T9" s="129" t="s">
        <v>155</v>
      </c>
      <c r="U9" s="128"/>
      <c r="V9" s="128"/>
      <c r="W9" s="128"/>
      <c r="X9" s="130"/>
      <c r="Y9" s="129" t="s">
        <v>66</v>
      </c>
      <c r="Z9" s="128"/>
      <c r="AA9" s="128"/>
      <c r="AB9" s="128"/>
      <c r="AC9" s="128"/>
      <c r="AD9" s="130"/>
      <c r="AG9" s="2"/>
      <c r="AH9" s="1" t="s">
        <v>94</v>
      </c>
    </row>
    <row r="10" spans="1:34" ht="20.45" customHeight="1" thickBot="1">
      <c r="A10" s="195"/>
      <c r="B10" s="196"/>
      <c r="C10" s="123"/>
      <c r="D10" s="124"/>
      <c r="E10" s="124"/>
      <c r="F10" s="124"/>
      <c r="G10" s="124"/>
      <c r="H10" s="124"/>
      <c r="I10" s="124"/>
      <c r="J10" s="124"/>
      <c r="K10" s="123"/>
      <c r="L10" s="124"/>
      <c r="M10" s="124"/>
      <c r="N10" s="124"/>
      <c r="O10" s="124"/>
      <c r="P10" s="124"/>
      <c r="Q10" s="124"/>
      <c r="R10" s="124"/>
      <c r="S10" s="124"/>
      <c r="T10" s="123"/>
      <c r="U10" s="124"/>
      <c r="V10" s="124"/>
      <c r="W10" s="124"/>
      <c r="X10" s="125"/>
      <c r="Y10" s="123"/>
      <c r="Z10" s="124"/>
      <c r="AA10" s="124"/>
      <c r="AB10" s="124"/>
      <c r="AC10" s="124"/>
      <c r="AD10" s="125"/>
    </row>
    <row r="11" spans="1:34" ht="20.45" customHeight="1">
      <c r="A11" s="195"/>
      <c r="B11" s="196"/>
      <c r="C11" s="134" t="s">
        <v>36</v>
      </c>
      <c r="D11" s="135"/>
      <c r="E11" s="135"/>
      <c r="F11" s="135"/>
      <c r="G11" s="135"/>
      <c r="H11" s="184"/>
      <c r="I11" s="185"/>
      <c r="J11" s="185"/>
      <c r="K11" s="149" t="s">
        <v>137</v>
      </c>
      <c r="L11" s="149"/>
      <c r="M11" s="149"/>
      <c r="N11" s="149"/>
      <c r="O11" s="149"/>
      <c r="P11" s="149"/>
      <c r="Q11" s="149"/>
      <c r="R11" s="149"/>
      <c r="S11" s="19"/>
      <c r="T11" s="149" t="s">
        <v>138</v>
      </c>
      <c r="U11" s="149"/>
      <c r="V11" s="149"/>
      <c r="W11" s="149"/>
      <c r="X11" s="149"/>
      <c r="Y11" s="149"/>
      <c r="Z11" s="150"/>
      <c r="AA11" s="150"/>
      <c r="AB11" s="150"/>
      <c r="AC11" s="150"/>
      <c r="AD11" s="151"/>
    </row>
    <row r="12" spans="1:34" ht="20.45" customHeight="1">
      <c r="A12" s="195"/>
      <c r="B12" s="196"/>
      <c r="C12" s="182" t="s">
        <v>37</v>
      </c>
      <c r="D12" s="183"/>
      <c r="E12" s="183"/>
      <c r="F12" s="183"/>
      <c r="G12" s="183"/>
      <c r="H12" s="25"/>
      <c r="I12" s="3"/>
      <c r="J12" s="145" t="s">
        <v>139</v>
      </c>
      <c r="K12" s="145"/>
      <c r="L12" s="145"/>
      <c r="M12" s="145"/>
      <c r="N12" s="145"/>
      <c r="O12" s="3"/>
      <c r="P12" s="145" t="s">
        <v>140</v>
      </c>
      <c r="Q12" s="145"/>
      <c r="R12" s="145"/>
      <c r="S12" s="145"/>
      <c r="T12" s="3"/>
      <c r="U12" s="145" t="s">
        <v>141</v>
      </c>
      <c r="V12" s="145"/>
      <c r="W12" s="145"/>
      <c r="X12" s="145"/>
      <c r="Y12" s="3"/>
      <c r="Z12" s="145" t="s">
        <v>142</v>
      </c>
      <c r="AA12" s="145"/>
      <c r="AB12" s="145"/>
      <c r="AC12" s="145"/>
      <c r="AD12" s="146"/>
    </row>
    <row r="13" spans="1:34" ht="20.45" customHeight="1">
      <c r="A13" s="195"/>
      <c r="B13" s="196"/>
      <c r="C13" s="136" t="s">
        <v>38</v>
      </c>
      <c r="D13" s="137"/>
      <c r="E13" s="137"/>
      <c r="F13" s="137"/>
      <c r="G13" s="138"/>
      <c r="H13" s="152"/>
      <c r="I13" s="152"/>
      <c r="J13" s="145" t="s">
        <v>40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6"/>
    </row>
    <row r="14" spans="1:34" ht="20.45" customHeight="1">
      <c r="A14" s="195"/>
      <c r="B14" s="196"/>
      <c r="C14" s="139"/>
      <c r="D14" s="140"/>
      <c r="E14" s="140"/>
      <c r="F14" s="140"/>
      <c r="G14" s="141"/>
      <c r="H14" s="153"/>
      <c r="I14" s="153"/>
      <c r="J14" s="145" t="s">
        <v>41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6"/>
    </row>
    <row r="15" spans="1:34" ht="20.45" customHeight="1" thickBot="1">
      <c r="A15" s="166"/>
      <c r="B15" s="167"/>
      <c r="C15" s="142"/>
      <c r="D15" s="143"/>
      <c r="E15" s="143"/>
      <c r="F15" s="143"/>
      <c r="G15" s="144"/>
      <c r="H15" s="154"/>
      <c r="I15" s="154"/>
      <c r="J15" s="147" t="s">
        <v>42</v>
      </c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8"/>
    </row>
    <row r="16" spans="1:34" ht="20.45" customHeight="1" thickBot="1">
      <c r="A16" s="171" t="s">
        <v>9</v>
      </c>
      <c r="B16" s="172"/>
      <c r="C16" s="189" t="s">
        <v>10</v>
      </c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1"/>
      <c r="U16" s="192" t="s">
        <v>11</v>
      </c>
      <c r="V16" s="190"/>
      <c r="W16" s="190"/>
      <c r="X16" s="190"/>
      <c r="Y16" s="190"/>
      <c r="Z16" s="190"/>
      <c r="AA16" s="190"/>
      <c r="AB16" s="190"/>
      <c r="AC16" s="190"/>
      <c r="AD16" s="193"/>
    </row>
    <row r="17" spans="1:31" ht="121.5" customHeight="1">
      <c r="A17" s="27">
        <v>1</v>
      </c>
      <c r="B17" s="29" t="s">
        <v>253</v>
      </c>
      <c r="C17" s="184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97"/>
      <c r="U17" s="214"/>
      <c r="V17" s="150"/>
      <c r="W17" s="150"/>
      <c r="X17" s="150"/>
      <c r="Y17" s="150"/>
      <c r="Z17" s="214"/>
      <c r="AA17" s="150"/>
      <c r="AB17" s="150"/>
      <c r="AC17" s="150"/>
      <c r="AD17" s="151"/>
    </row>
    <row r="18" spans="1:31" ht="121.5" customHeight="1" thickBot="1">
      <c r="A18" s="28">
        <v>2</v>
      </c>
      <c r="B18" s="30" t="s">
        <v>254</v>
      </c>
      <c r="C18" s="198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99"/>
      <c r="U18" s="215"/>
      <c r="V18" s="216"/>
      <c r="W18" s="216"/>
      <c r="X18" s="216"/>
      <c r="Y18" s="216"/>
      <c r="Z18" s="215"/>
      <c r="AA18" s="216"/>
      <c r="AB18" s="216"/>
      <c r="AC18" s="216"/>
      <c r="AD18" s="217"/>
    </row>
    <row r="19" spans="1:31" ht="20.45" customHeight="1" thickBot="1">
      <c r="A19" s="171" t="s">
        <v>12</v>
      </c>
      <c r="B19" s="172"/>
      <c r="C19" s="24"/>
      <c r="D19" s="207" t="s">
        <v>143</v>
      </c>
      <c r="E19" s="207"/>
      <c r="F19" s="21"/>
      <c r="G19" s="133" t="s">
        <v>144</v>
      </c>
      <c r="H19" s="133"/>
      <c r="I19" s="21"/>
      <c r="J19" s="207" t="s">
        <v>145</v>
      </c>
      <c r="K19" s="207"/>
      <c r="L19" s="21"/>
      <c r="M19" s="133" t="s">
        <v>146</v>
      </c>
      <c r="N19" s="207"/>
      <c r="O19" s="21"/>
      <c r="P19" s="207" t="s">
        <v>147</v>
      </c>
      <c r="Q19" s="207"/>
      <c r="R19" s="133"/>
      <c r="S19" s="133"/>
      <c r="T19" s="16"/>
      <c r="U19" s="219" t="s">
        <v>148</v>
      </c>
      <c r="V19" s="219"/>
      <c r="W19" s="219"/>
      <c r="X19" s="21"/>
      <c r="Y19" s="133" t="s">
        <v>142</v>
      </c>
      <c r="Z19" s="133"/>
      <c r="AA19" s="16" t="s">
        <v>67</v>
      </c>
      <c r="AB19" s="194"/>
      <c r="AC19" s="194"/>
      <c r="AD19" s="31" t="s">
        <v>68</v>
      </c>
    </row>
    <row r="20" spans="1:31" ht="20.45" customHeight="1" thickBot="1">
      <c r="A20" s="171" t="s">
        <v>35</v>
      </c>
      <c r="B20" s="172"/>
      <c r="C20" s="21"/>
      <c r="D20" s="133" t="s">
        <v>46</v>
      </c>
      <c r="E20" s="133"/>
      <c r="F20" s="133"/>
      <c r="G20" s="21"/>
      <c r="H20" s="174" t="s">
        <v>149</v>
      </c>
      <c r="I20" s="133"/>
      <c r="J20" s="133"/>
      <c r="K20" s="133"/>
      <c r="L20" s="133"/>
      <c r="M20" s="22"/>
      <c r="N20" s="133" t="s">
        <v>150</v>
      </c>
      <c r="O20" s="133"/>
      <c r="P20" s="133"/>
      <c r="Q20" s="133"/>
      <c r="R20" s="21"/>
      <c r="S20" s="21" t="s">
        <v>151</v>
      </c>
      <c r="T20" s="21"/>
      <c r="U20" s="133" t="s">
        <v>91</v>
      </c>
      <c r="V20" s="133"/>
      <c r="W20" s="133"/>
      <c r="X20" s="133"/>
      <c r="Y20" s="21"/>
      <c r="Z20" s="133" t="s">
        <v>152</v>
      </c>
      <c r="AA20" s="133"/>
      <c r="AB20" s="133"/>
      <c r="AC20" s="133"/>
      <c r="AD20" s="218"/>
      <c r="AE20" s="23"/>
    </row>
    <row r="21" spans="1:31" ht="20.45" customHeight="1">
      <c r="A21" s="176" t="s">
        <v>39</v>
      </c>
      <c r="B21" s="177"/>
      <c r="C21" s="200" t="s">
        <v>13</v>
      </c>
      <c r="D21" s="201"/>
      <c r="E21" s="201"/>
      <c r="F21" s="201"/>
      <c r="G21" s="201"/>
      <c r="H21" s="202"/>
      <c r="I21" s="203"/>
      <c r="J21" s="8"/>
      <c r="K21" s="149" t="s">
        <v>153</v>
      </c>
      <c r="L21" s="149"/>
      <c r="M21" s="149"/>
      <c r="N21" s="149"/>
      <c r="O21" s="5"/>
      <c r="P21" s="149" t="s">
        <v>65</v>
      </c>
      <c r="Q21" s="149"/>
      <c r="R21" s="149"/>
      <c r="S21" s="149"/>
      <c r="T21" s="11" t="s">
        <v>67</v>
      </c>
      <c r="U21" s="213"/>
      <c r="V21" s="213"/>
      <c r="W21" s="213"/>
      <c r="X21" s="213"/>
      <c r="Y21" s="213"/>
      <c r="Z21" s="213"/>
      <c r="AA21" s="213"/>
      <c r="AB21" s="213"/>
      <c r="AC21" s="213"/>
      <c r="AD21" s="13" t="s">
        <v>68</v>
      </c>
    </row>
    <row r="22" spans="1:31" ht="20.45" customHeight="1">
      <c r="A22" s="178"/>
      <c r="B22" s="179"/>
      <c r="C22" s="204" t="s">
        <v>14</v>
      </c>
      <c r="D22" s="205"/>
      <c r="E22" s="205"/>
      <c r="F22" s="205"/>
      <c r="G22" s="205"/>
      <c r="H22" s="205"/>
      <c r="I22" s="206"/>
      <c r="J22" s="9"/>
      <c r="K22" s="145" t="s">
        <v>153</v>
      </c>
      <c r="L22" s="145"/>
      <c r="M22" s="145"/>
      <c r="N22" s="145"/>
      <c r="O22" s="3"/>
      <c r="P22" s="145" t="s">
        <v>65</v>
      </c>
      <c r="Q22" s="145"/>
      <c r="R22" s="145"/>
      <c r="S22" s="145"/>
      <c r="T22" s="4" t="s">
        <v>67</v>
      </c>
      <c r="U22" s="208"/>
      <c r="V22" s="208"/>
      <c r="W22" s="208"/>
      <c r="X22" s="208"/>
      <c r="Y22" s="208"/>
      <c r="Z22" s="208"/>
      <c r="AA22" s="208"/>
      <c r="AB22" s="208"/>
      <c r="AC22" s="208"/>
      <c r="AD22" s="14" t="s">
        <v>68</v>
      </c>
    </row>
    <row r="23" spans="1:31" ht="20.45" customHeight="1">
      <c r="A23" s="178"/>
      <c r="B23" s="179"/>
      <c r="C23" s="204" t="s">
        <v>15</v>
      </c>
      <c r="D23" s="205"/>
      <c r="E23" s="205"/>
      <c r="F23" s="205"/>
      <c r="G23" s="205"/>
      <c r="H23" s="205"/>
      <c r="I23" s="206"/>
      <c r="J23" s="9"/>
      <c r="K23" s="145" t="s">
        <v>153</v>
      </c>
      <c r="L23" s="145"/>
      <c r="M23" s="145"/>
      <c r="N23" s="145"/>
      <c r="O23" s="3"/>
      <c r="P23" s="145" t="s">
        <v>65</v>
      </c>
      <c r="Q23" s="145"/>
      <c r="R23" s="145"/>
      <c r="S23" s="145"/>
      <c r="T23" s="4" t="s">
        <v>67</v>
      </c>
      <c r="U23" s="208"/>
      <c r="V23" s="208"/>
      <c r="W23" s="208"/>
      <c r="X23" s="208"/>
      <c r="Y23" s="208"/>
      <c r="Z23" s="208"/>
      <c r="AA23" s="208"/>
      <c r="AB23" s="208"/>
      <c r="AC23" s="208"/>
      <c r="AD23" s="14" t="s">
        <v>68</v>
      </c>
    </row>
    <row r="24" spans="1:31" ht="20.45" customHeight="1">
      <c r="A24" s="178"/>
      <c r="B24" s="179"/>
      <c r="C24" s="204" t="s">
        <v>16</v>
      </c>
      <c r="D24" s="205"/>
      <c r="E24" s="205"/>
      <c r="F24" s="205"/>
      <c r="G24" s="205"/>
      <c r="H24" s="205"/>
      <c r="I24" s="206"/>
      <c r="J24" s="9"/>
      <c r="K24" s="145" t="s">
        <v>153</v>
      </c>
      <c r="L24" s="145"/>
      <c r="M24" s="145"/>
      <c r="N24" s="145"/>
      <c r="O24" s="3"/>
      <c r="P24" s="145" t="s">
        <v>65</v>
      </c>
      <c r="Q24" s="145"/>
      <c r="R24" s="145"/>
      <c r="S24" s="145"/>
      <c r="T24" s="4" t="s">
        <v>67</v>
      </c>
      <c r="U24" s="208"/>
      <c r="V24" s="208"/>
      <c r="W24" s="208"/>
      <c r="X24" s="208"/>
      <c r="Y24" s="208"/>
      <c r="Z24" s="208"/>
      <c r="AA24" s="208"/>
      <c r="AB24" s="208"/>
      <c r="AC24" s="208"/>
      <c r="AD24" s="14" t="s">
        <v>68</v>
      </c>
    </row>
    <row r="25" spans="1:31" ht="20.45" customHeight="1" thickBot="1">
      <c r="A25" s="180"/>
      <c r="B25" s="181"/>
      <c r="C25" s="209" t="s">
        <v>17</v>
      </c>
      <c r="D25" s="210"/>
      <c r="E25" s="210"/>
      <c r="F25" s="210"/>
      <c r="G25" s="210"/>
      <c r="H25" s="210"/>
      <c r="I25" s="211"/>
      <c r="J25" s="10"/>
      <c r="K25" s="147" t="s">
        <v>153</v>
      </c>
      <c r="L25" s="147"/>
      <c r="M25" s="147"/>
      <c r="N25" s="147"/>
      <c r="O25" s="20"/>
      <c r="P25" s="147" t="s">
        <v>65</v>
      </c>
      <c r="Q25" s="147"/>
      <c r="R25" s="147"/>
      <c r="S25" s="147"/>
      <c r="T25" s="12" t="s">
        <v>67</v>
      </c>
      <c r="U25" s="212"/>
      <c r="V25" s="212"/>
      <c r="W25" s="212"/>
      <c r="X25" s="212"/>
      <c r="Y25" s="212"/>
      <c r="Z25" s="212"/>
      <c r="AA25" s="212"/>
      <c r="AB25" s="212"/>
      <c r="AC25" s="212"/>
      <c r="AD25" s="15" t="s">
        <v>68</v>
      </c>
    </row>
    <row r="26" spans="1:31" ht="43.5" customHeight="1" thickBot="1">
      <c r="A26" s="171" t="s">
        <v>18</v>
      </c>
      <c r="B26" s="172"/>
      <c r="C26" s="155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7"/>
    </row>
  </sheetData>
  <mergeCells count="98">
    <mergeCell ref="U17:Y17"/>
    <mergeCell ref="Z17:AD17"/>
    <mergeCell ref="U18:Y18"/>
    <mergeCell ref="Z18:AD18"/>
    <mergeCell ref="Z20:AD20"/>
    <mergeCell ref="U19:W19"/>
    <mergeCell ref="Y19:Z19"/>
    <mergeCell ref="N20:Q20"/>
    <mergeCell ref="U20:X20"/>
    <mergeCell ref="M19:N19"/>
    <mergeCell ref="P19:S19"/>
    <mergeCell ref="U25:AC25"/>
    <mergeCell ref="K21:N21"/>
    <mergeCell ref="K22:N22"/>
    <mergeCell ref="K23:N23"/>
    <mergeCell ref="K24:N24"/>
    <mergeCell ref="K25:N25"/>
    <mergeCell ref="P21:S21"/>
    <mergeCell ref="P22:S22"/>
    <mergeCell ref="P23:S23"/>
    <mergeCell ref="P24:S24"/>
    <mergeCell ref="P25:S25"/>
    <mergeCell ref="U21:AC21"/>
    <mergeCell ref="U22:AC22"/>
    <mergeCell ref="U23:AC23"/>
    <mergeCell ref="U24:AC24"/>
    <mergeCell ref="C24:I24"/>
    <mergeCell ref="C25:I25"/>
    <mergeCell ref="C21:I21"/>
    <mergeCell ref="C22:I22"/>
    <mergeCell ref="C23:I23"/>
    <mergeCell ref="D19:E19"/>
    <mergeCell ref="J19:K19"/>
    <mergeCell ref="G19:H19"/>
    <mergeCell ref="D20:F20"/>
    <mergeCell ref="H20:L20"/>
    <mergeCell ref="A20:B20"/>
    <mergeCell ref="H11:J11"/>
    <mergeCell ref="J12:N12"/>
    <mergeCell ref="AA1:AD1"/>
    <mergeCell ref="AA4:AD4"/>
    <mergeCell ref="U4:Z4"/>
    <mergeCell ref="U16:AD16"/>
    <mergeCell ref="U1:Z1"/>
    <mergeCell ref="AB19:AC19"/>
    <mergeCell ref="A9:B15"/>
    <mergeCell ref="A19:B19"/>
    <mergeCell ref="A16:B16"/>
    <mergeCell ref="C17:T17"/>
    <mergeCell ref="C18:T18"/>
    <mergeCell ref="C16:T16"/>
    <mergeCell ref="C10:J10"/>
    <mergeCell ref="C26:AD26"/>
    <mergeCell ref="A1:B1"/>
    <mergeCell ref="C3:AD3"/>
    <mergeCell ref="C4:T4"/>
    <mergeCell ref="A3:B3"/>
    <mergeCell ref="A2:AD2"/>
    <mergeCell ref="A7:B8"/>
    <mergeCell ref="A5:AD5"/>
    <mergeCell ref="A6:B6"/>
    <mergeCell ref="D6:G6"/>
    <mergeCell ref="A4:B4"/>
    <mergeCell ref="C7:J7"/>
    <mergeCell ref="C8:J8"/>
    <mergeCell ref="A26:B26"/>
    <mergeCell ref="A21:B25"/>
    <mergeCell ref="C12:G12"/>
    <mergeCell ref="C11:G11"/>
    <mergeCell ref="C13:G15"/>
    <mergeCell ref="J13:AD13"/>
    <mergeCell ref="J14:AD14"/>
    <mergeCell ref="J15:AD15"/>
    <mergeCell ref="K11:R11"/>
    <mergeCell ref="T11:Y11"/>
    <mergeCell ref="Z11:AD11"/>
    <mergeCell ref="P12:S12"/>
    <mergeCell ref="U12:X12"/>
    <mergeCell ref="Z12:AD12"/>
    <mergeCell ref="H13:I13"/>
    <mergeCell ref="H14:I14"/>
    <mergeCell ref="H15:I15"/>
    <mergeCell ref="K10:S10"/>
    <mergeCell ref="T10:X10"/>
    <mergeCell ref="Y10:AD10"/>
    <mergeCell ref="C1:G1"/>
    <mergeCell ref="H1:O1"/>
    <mergeCell ref="K9:S9"/>
    <mergeCell ref="C9:J9"/>
    <mergeCell ref="T7:AD7"/>
    <mergeCell ref="T8:AD8"/>
    <mergeCell ref="H6:K6"/>
    <mergeCell ref="L6:AA6"/>
    <mergeCell ref="T9:X9"/>
    <mergeCell ref="Y9:AD9"/>
    <mergeCell ref="P1:T1"/>
    <mergeCell ref="K7:S7"/>
    <mergeCell ref="K8:S8"/>
  </mergeCells>
  <phoneticPr fontId="4" type="noConversion"/>
  <printOptions horizontalCentered="1"/>
  <pageMargins left="0.59055118110236227" right="0.59055118110236227" top="0.59055118110236227" bottom="0.59055118110236227" header="0.59055118110236227" footer="0.3937007874015748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" r:id="rId4" name="Check Box 30">
              <controlPr defaultSize="0" autoFill="0" autoLine="0" autoPict="0">
                <anchor moveWithCells="1">
                  <from>
                    <xdr:col>8</xdr:col>
                    <xdr:colOff>171450</xdr:colOff>
                    <xdr:row>10</xdr:row>
                    <xdr:rowOff>0</xdr:rowOff>
                  </from>
                  <to>
                    <xdr:col>10</xdr:col>
                    <xdr:colOff>47625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" name="Check Box 62">
              <controlPr defaultSize="0" autoFill="0" autoLine="0" autoPict="0">
                <anchor moveWithCells="1">
                  <from>
                    <xdr:col>1</xdr:col>
                    <xdr:colOff>885825</xdr:colOff>
                    <xdr:row>5</xdr:row>
                    <xdr:rowOff>38100</xdr:rowOff>
                  </from>
                  <to>
                    <xdr:col>3</xdr:col>
                    <xdr:colOff>19050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" name="Check Box 93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266700</xdr:rowOff>
                  </from>
                  <to>
                    <xdr:col>10</xdr:col>
                    <xdr:colOff>142875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" name="Check Box 94">
              <controlPr defaultSize="0" autoFill="0" autoLine="0" autoPict="0">
                <anchor moveWithCells="1">
                  <from>
                    <xdr:col>11</xdr:col>
                    <xdr:colOff>85725</xdr:colOff>
                    <xdr:row>4</xdr:row>
                    <xdr:rowOff>266700</xdr:rowOff>
                  </from>
                  <to>
                    <xdr:col>15</xdr:col>
                    <xdr:colOff>57150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" name="Check Box 95">
              <controlPr defaultSize="0" autoFill="0" autoLine="0" autoPict="0">
                <anchor moveWithCells="1">
                  <from>
                    <xdr:col>15</xdr:col>
                    <xdr:colOff>161925</xdr:colOff>
                    <xdr:row>4</xdr:row>
                    <xdr:rowOff>266700</xdr:rowOff>
                  </from>
                  <to>
                    <xdr:col>19</xdr:col>
                    <xdr:colOff>123825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" name="Check Box 96">
              <controlPr defaultSize="0" autoFill="0" autoLine="0" autoPict="0">
                <anchor moveWithCells="1">
                  <from>
                    <xdr:col>19</xdr:col>
                    <xdr:colOff>152400</xdr:colOff>
                    <xdr:row>4</xdr:row>
                    <xdr:rowOff>266700</xdr:rowOff>
                  </from>
                  <to>
                    <xdr:col>24</xdr:col>
                    <xdr:colOff>133350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" name="Check Box 97">
              <controlPr defaultSize="0" autoFill="0" autoLine="0" autoPict="0">
                <anchor moveWithCells="1">
                  <from>
                    <xdr:col>24</xdr:col>
                    <xdr:colOff>114300</xdr:colOff>
                    <xdr:row>4</xdr:row>
                    <xdr:rowOff>266700</xdr:rowOff>
                  </from>
                  <to>
                    <xdr:col>27</xdr:col>
                    <xdr:colOff>95250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1" name="Check Box 135">
              <controlPr defaultSize="0" autoFill="0" autoLine="0" autoPict="0">
                <anchor moveWithCells="1">
                  <from>
                    <xdr:col>17</xdr:col>
                    <xdr:colOff>171450</xdr:colOff>
                    <xdr:row>10</xdr:row>
                    <xdr:rowOff>0</xdr:rowOff>
                  </from>
                  <to>
                    <xdr:col>19</xdr:col>
                    <xdr:colOff>47625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" name="Check Box 136">
              <controlPr defaultSize="0" autoFill="0" autoLine="0" autoPict="0">
                <anchor moveWithCells="1">
                  <from>
                    <xdr:col>7</xdr:col>
                    <xdr:colOff>171450</xdr:colOff>
                    <xdr:row>11</xdr:row>
                    <xdr:rowOff>0</xdr:rowOff>
                  </from>
                  <to>
                    <xdr:col>9</xdr:col>
                    <xdr:colOff>57150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" name="Check Box 137">
              <controlPr defaultSize="0" autoFill="0" autoLine="0" autoPict="0">
                <anchor moveWithCells="1">
                  <from>
                    <xdr:col>13</xdr:col>
                    <xdr:colOff>171450</xdr:colOff>
                    <xdr:row>11</xdr:row>
                    <xdr:rowOff>0</xdr:rowOff>
                  </from>
                  <to>
                    <xdr:col>15</xdr:col>
                    <xdr:colOff>47625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" name="Check Box 138">
              <controlPr defaultSize="0" autoFill="0" autoLine="0" autoPict="0">
                <anchor moveWithCells="1">
                  <from>
                    <xdr:col>18</xdr:col>
                    <xdr:colOff>171450</xdr:colOff>
                    <xdr:row>11</xdr:row>
                    <xdr:rowOff>0</xdr:rowOff>
                  </from>
                  <to>
                    <xdr:col>20</xdr:col>
                    <xdr:colOff>47625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5" name="Check Box 139">
              <controlPr defaultSize="0" autoFill="0" autoLine="0" autoPict="0">
                <anchor moveWithCells="1">
                  <from>
                    <xdr:col>23</xdr:col>
                    <xdr:colOff>180975</xdr:colOff>
                    <xdr:row>11</xdr:row>
                    <xdr:rowOff>0</xdr:rowOff>
                  </from>
                  <to>
                    <xdr:col>25</xdr:col>
                    <xdr:colOff>47625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6" name="Check Box 140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3</xdr:col>
                    <xdr:colOff>57150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7" name="Check Box 141">
              <controlPr defaultSize="0" autoFill="0" autoLine="0" autoPict="0">
                <anchor moveWithCells="1">
                  <from>
                    <xdr:col>18</xdr:col>
                    <xdr:colOff>171450</xdr:colOff>
                    <xdr:row>18</xdr:row>
                    <xdr:rowOff>0</xdr:rowOff>
                  </from>
                  <to>
                    <xdr:col>20</xdr:col>
                    <xdr:colOff>47625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8" name="Check Box 142">
              <controlPr defaultSize="0" autoFill="0" autoLine="0" autoPict="0">
                <anchor moveWithCells="1">
                  <from>
                    <xdr:col>8</xdr:col>
                    <xdr:colOff>0</xdr:colOff>
                    <xdr:row>18</xdr:row>
                    <xdr:rowOff>0</xdr:rowOff>
                  </from>
                  <to>
                    <xdr:col>9</xdr:col>
                    <xdr:colOff>57150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9" name="Check Box 143">
              <controlPr defaultSize="0" autoFill="0" autoLine="0" autoPict="0">
                <anchor moveWithCells="1">
                  <from>
                    <xdr:col>10</xdr:col>
                    <xdr:colOff>171450</xdr:colOff>
                    <xdr:row>18</xdr:row>
                    <xdr:rowOff>0</xdr:rowOff>
                  </from>
                  <to>
                    <xdr:col>12</xdr:col>
                    <xdr:colOff>47625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20" name="Check Box 144">
              <controlPr defaultSize="0" autoFill="0" autoLine="0" autoPict="0">
                <anchor moveWithCells="1">
                  <from>
                    <xdr:col>14</xdr:col>
                    <xdr:colOff>0</xdr:colOff>
                    <xdr:row>18</xdr:row>
                    <xdr:rowOff>0</xdr:rowOff>
                  </from>
                  <to>
                    <xdr:col>15</xdr:col>
                    <xdr:colOff>57150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21" name="Check Box 145">
              <controlPr defaultSize="0" autoFill="0" autoLine="0" autoPict="0">
                <anchor moveWithCells="1">
                  <from>
                    <xdr:col>5</xdr:col>
                    <xdr:colOff>0</xdr:colOff>
                    <xdr:row>18</xdr:row>
                    <xdr:rowOff>0</xdr:rowOff>
                  </from>
                  <to>
                    <xdr:col>6</xdr:col>
                    <xdr:colOff>57150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22" name="Check Box 146">
              <controlPr defaultSize="0" autoFill="0" autoLine="0" autoPict="0">
                <anchor moveWithCells="1">
                  <from>
                    <xdr:col>23</xdr:col>
                    <xdr:colOff>0</xdr:colOff>
                    <xdr:row>18</xdr:row>
                    <xdr:rowOff>0</xdr:rowOff>
                  </from>
                  <to>
                    <xdr:col>24</xdr:col>
                    <xdr:colOff>47625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23" name="Check Box 148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3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24" name="Check Box 156">
              <controlPr defaultSize="0" autoFill="0" autoLine="0" autoPict="0">
                <anchor moveWithCells="1">
                  <from>
                    <xdr:col>8</xdr:col>
                    <xdr:colOff>171450</xdr:colOff>
                    <xdr:row>20</xdr:row>
                    <xdr:rowOff>0</xdr:rowOff>
                  </from>
                  <to>
                    <xdr:col>10</xdr:col>
                    <xdr:colOff>47625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25" name="Check Box 157">
              <controlPr defaultSize="0" autoFill="0" autoLine="0" autoPict="0">
                <anchor moveWithCells="1">
                  <from>
                    <xdr:col>8</xdr:col>
                    <xdr:colOff>171450</xdr:colOff>
                    <xdr:row>21</xdr:row>
                    <xdr:rowOff>0</xdr:rowOff>
                  </from>
                  <to>
                    <xdr:col>10</xdr:col>
                    <xdr:colOff>47625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26" name="Check Box 158">
              <controlPr defaultSize="0" autoFill="0" autoLine="0" autoPict="0">
                <anchor moveWithCells="1">
                  <from>
                    <xdr:col>8</xdr:col>
                    <xdr:colOff>171450</xdr:colOff>
                    <xdr:row>22</xdr:row>
                    <xdr:rowOff>0</xdr:rowOff>
                  </from>
                  <to>
                    <xdr:col>10</xdr:col>
                    <xdr:colOff>47625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27" name="Check Box 160">
              <controlPr defaultSize="0" autoFill="0" autoLine="0" autoPict="0">
                <anchor moveWithCells="1">
                  <from>
                    <xdr:col>8</xdr:col>
                    <xdr:colOff>171450</xdr:colOff>
                    <xdr:row>23</xdr:row>
                    <xdr:rowOff>0</xdr:rowOff>
                  </from>
                  <to>
                    <xdr:col>10</xdr:col>
                    <xdr:colOff>47625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28" name="Check Box 161">
              <controlPr defaultSize="0" autoFill="0" autoLine="0" autoPict="0">
                <anchor moveWithCells="1">
                  <from>
                    <xdr:col>8</xdr:col>
                    <xdr:colOff>171450</xdr:colOff>
                    <xdr:row>24</xdr:row>
                    <xdr:rowOff>0</xdr:rowOff>
                  </from>
                  <to>
                    <xdr:col>10</xdr:col>
                    <xdr:colOff>47625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29" name="Check Box 162">
              <controlPr defaultSize="0" autoFill="0" autoLine="0" autoPict="0">
                <anchor moveWithCells="1">
                  <from>
                    <xdr:col>13</xdr:col>
                    <xdr:colOff>171450</xdr:colOff>
                    <xdr:row>20</xdr:row>
                    <xdr:rowOff>0</xdr:rowOff>
                  </from>
                  <to>
                    <xdr:col>15</xdr:col>
                    <xdr:colOff>47625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30" name="Check Box 163">
              <controlPr defaultSize="0" autoFill="0" autoLine="0" autoPict="0">
                <anchor moveWithCells="1">
                  <from>
                    <xdr:col>13</xdr:col>
                    <xdr:colOff>171450</xdr:colOff>
                    <xdr:row>21</xdr:row>
                    <xdr:rowOff>0</xdr:rowOff>
                  </from>
                  <to>
                    <xdr:col>15</xdr:col>
                    <xdr:colOff>47625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31" name="Check Box 164">
              <controlPr defaultSize="0" autoFill="0" autoLine="0" autoPict="0">
                <anchor moveWithCells="1">
                  <from>
                    <xdr:col>13</xdr:col>
                    <xdr:colOff>171450</xdr:colOff>
                    <xdr:row>22</xdr:row>
                    <xdr:rowOff>0</xdr:rowOff>
                  </from>
                  <to>
                    <xdr:col>15</xdr:col>
                    <xdr:colOff>47625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32" name="Check Box 165">
              <controlPr defaultSize="0" autoFill="0" autoLine="0" autoPict="0">
                <anchor moveWithCells="1">
                  <from>
                    <xdr:col>13</xdr:col>
                    <xdr:colOff>171450</xdr:colOff>
                    <xdr:row>23</xdr:row>
                    <xdr:rowOff>0</xdr:rowOff>
                  </from>
                  <to>
                    <xdr:col>15</xdr:col>
                    <xdr:colOff>47625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33" name="Check Box 166">
              <controlPr defaultSize="0" autoFill="0" autoLine="0" autoPict="0">
                <anchor moveWithCells="1">
                  <from>
                    <xdr:col>13</xdr:col>
                    <xdr:colOff>171450</xdr:colOff>
                    <xdr:row>24</xdr:row>
                    <xdr:rowOff>0</xdr:rowOff>
                  </from>
                  <to>
                    <xdr:col>15</xdr:col>
                    <xdr:colOff>47625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Check Box 167">
              <controlPr defaultSize="0" autoFill="0" autoLine="0" autoPict="0">
                <anchor moveWithCells="1">
                  <from>
                    <xdr:col>7</xdr:col>
                    <xdr:colOff>95250</xdr:colOff>
                    <xdr:row>12</xdr:row>
                    <xdr:rowOff>9525</xdr:rowOff>
                  </from>
                  <to>
                    <xdr:col>8</xdr:col>
                    <xdr:colOff>142875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35" name="Check Box 168">
              <controlPr defaultSize="0" autoFill="0" autoLine="0" autoPict="0">
                <anchor moveWithCells="1">
                  <from>
                    <xdr:col>7</xdr:col>
                    <xdr:colOff>95250</xdr:colOff>
                    <xdr:row>13</xdr:row>
                    <xdr:rowOff>9525</xdr:rowOff>
                  </from>
                  <to>
                    <xdr:col>8</xdr:col>
                    <xdr:colOff>142875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36" name="Check Box 169">
              <controlPr defaultSize="0" autoFill="0" autoLine="0" autoPict="0">
                <anchor moveWithCells="1">
                  <from>
                    <xdr:col>7</xdr:col>
                    <xdr:colOff>95250</xdr:colOff>
                    <xdr:row>14</xdr:row>
                    <xdr:rowOff>9525</xdr:rowOff>
                  </from>
                  <to>
                    <xdr:col>8</xdr:col>
                    <xdr:colOff>142875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37" name="Check Box 170">
              <controlPr defaultSize="0" autoFill="0" autoLine="0" autoPict="0">
                <anchor moveWithCells="1">
                  <from>
                    <xdr:col>5</xdr:col>
                    <xdr:colOff>171450</xdr:colOff>
                    <xdr:row>19</xdr:row>
                    <xdr:rowOff>0</xdr:rowOff>
                  </from>
                  <to>
                    <xdr:col>7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38" name="Check Box 171">
              <controlPr defaultSize="0" autoFill="0" autoLine="0" autoPict="0">
                <anchor moveWithCells="1">
                  <from>
                    <xdr:col>11</xdr:col>
                    <xdr:colOff>171450</xdr:colOff>
                    <xdr:row>19</xdr:row>
                    <xdr:rowOff>0</xdr:rowOff>
                  </from>
                  <to>
                    <xdr:col>13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39" name="Check Box 172">
              <controlPr defaultSize="0" autoFill="0" autoLine="0" autoPict="0">
                <anchor moveWithCells="1">
                  <from>
                    <xdr:col>17</xdr:col>
                    <xdr:colOff>0</xdr:colOff>
                    <xdr:row>18</xdr:row>
                    <xdr:rowOff>247650</xdr:rowOff>
                  </from>
                  <to>
                    <xdr:col>18</xdr:col>
                    <xdr:colOff>57150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40" name="Check Box 173">
              <controlPr defaultSize="0" autoFill="0" autoLine="0" autoPict="0">
                <anchor moveWithCells="1">
                  <from>
                    <xdr:col>19</xdr:col>
                    <xdr:colOff>9525</xdr:colOff>
                    <xdr:row>19</xdr:row>
                    <xdr:rowOff>0</xdr:rowOff>
                  </from>
                  <to>
                    <xdr:col>20</xdr:col>
                    <xdr:colOff>66675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41" name="Check Box 174">
              <controlPr defaultSize="0" autoFill="0" autoLine="0" autoPict="0">
                <anchor moveWithCells="1">
                  <from>
                    <xdr:col>24</xdr:col>
                    <xdr:colOff>0</xdr:colOff>
                    <xdr:row>18</xdr:row>
                    <xdr:rowOff>247650</xdr:rowOff>
                  </from>
                  <to>
                    <xdr:col>25</xdr:col>
                    <xdr:colOff>57150</xdr:colOff>
                    <xdr:row>19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91AE-74CF-4AED-9C77-EEAED7C61C6B}">
  <dimension ref="A1:AL66"/>
  <sheetViews>
    <sheetView topLeftCell="A51" zoomScaleNormal="100" workbookViewId="0">
      <selection activeCell="M64" sqref="M64:U64"/>
    </sheetView>
  </sheetViews>
  <sheetFormatPr defaultColWidth="6" defaultRowHeight="22.15" customHeight="1"/>
  <cols>
    <col min="1" max="1" width="6.875" style="41" customWidth="1"/>
    <col min="2" max="3" width="2.75" style="41" customWidth="1"/>
    <col min="4" max="9" width="2.5" style="41" customWidth="1"/>
    <col min="10" max="13" width="2.625" style="41" customWidth="1"/>
    <col min="14" max="14" width="3.5" style="41" customWidth="1"/>
    <col min="15" max="17" width="2.625" style="41" customWidth="1"/>
    <col min="18" max="18" width="2.25" style="41" customWidth="1"/>
    <col min="19" max="19" width="2.125" style="41" customWidth="1"/>
    <col min="20" max="20" width="7.75" style="41" customWidth="1"/>
    <col min="21" max="22" width="7.25" style="41" customWidth="1"/>
    <col min="23" max="23" width="7.375" style="41" customWidth="1"/>
    <col min="24" max="26" width="7" style="40" hidden="1" customWidth="1"/>
    <col min="27" max="16384" width="6" style="41"/>
  </cols>
  <sheetData>
    <row r="1" spans="1:26" ht="19.899999999999999" customHeight="1" thickBot="1">
      <c r="A1" s="323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262" t="s">
        <v>95</v>
      </c>
      <c r="U1" s="263"/>
      <c r="V1" s="245" t="s">
        <v>156</v>
      </c>
      <c r="W1" s="246"/>
    </row>
    <row r="2" spans="1:26" ht="22.15" customHeight="1" thickBot="1">
      <c r="A2" s="247" t="s">
        <v>171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9"/>
    </row>
    <row r="3" spans="1:26" ht="22.15" customHeight="1">
      <c r="A3" s="220" t="s">
        <v>89</v>
      </c>
      <c r="B3" s="269" t="s">
        <v>4</v>
      </c>
      <c r="C3" s="261"/>
      <c r="D3" s="261"/>
      <c r="E3" s="261"/>
      <c r="F3" s="261"/>
      <c r="G3" s="261"/>
      <c r="H3" s="261"/>
      <c r="I3" s="261"/>
      <c r="J3" s="261" t="s">
        <v>5</v>
      </c>
      <c r="K3" s="261"/>
      <c r="L3" s="261"/>
      <c r="M3" s="261"/>
      <c r="N3" s="261"/>
      <c r="O3" s="261"/>
      <c r="P3" s="261"/>
      <c r="Q3" s="261"/>
      <c r="R3" s="261"/>
      <c r="S3" s="261"/>
      <c r="T3" s="261" t="s">
        <v>9</v>
      </c>
      <c r="U3" s="261"/>
      <c r="V3" s="261"/>
      <c r="W3" s="265"/>
    </row>
    <row r="4" spans="1:26" ht="22.15" customHeight="1" thickBot="1">
      <c r="A4" s="222"/>
      <c r="B4" s="226" t="str">
        <f>문서번호1!K8</f>
        <v>생산1팀</v>
      </c>
      <c r="C4" s="227"/>
      <c r="D4" s="227"/>
      <c r="E4" s="227"/>
      <c r="F4" s="227"/>
      <c r="G4" s="227"/>
      <c r="H4" s="227"/>
      <c r="I4" s="227"/>
      <c r="J4" s="227" t="str">
        <f>문서번호1!T8</f>
        <v>CTB</v>
      </c>
      <c r="K4" s="227"/>
      <c r="L4" s="227"/>
      <c r="M4" s="227"/>
      <c r="N4" s="227"/>
      <c r="O4" s="227"/>
      <c r="P4" s="227"/>
      <c r="Q4" s="227"/>
      <c r="R4" s="227"/>
      <c r="S4" s="227"/>
      <c r="T4" s="227" t="str">
        <f>문서번호1!B17</f>
        <v>작업1</v>
      </c>
      <c r="U4" s="227"/>
      <c r="V4" s="227"/>
      <c r="W4" s="266"/>
    </row>
    <row r="5" spans="1:26" ht="16.5" customHeight="1">
      <c r="A5" s="220" t="s">
        <v>166</v>
      </c>
      <c r="B5" s="223" t="s">
        <v>178</v>
      </c>
      <c r="C5" s="223"/>
      <c r="D5" s="223"/>
      <c r="E5" s="223"/>
      <c r="F5" s="223"/>
      <c r="G5" s="223"/>
      <c r="H5" s="42" t="s">
        <v>64</v>
      </c>
      <c r="I5" s="238"/>
      <c r="J5" s="238"/>
      <c r="K5" s="239" t="s">
        <v>98</v>
      </c>
      <c r="L5" s="239"/>
      <c r="M5" s="244"/>
      <c r="N5" s="244"/>
      <c r="O5" s="244"/>
      <c r="P5" s="244"/>
      <c r="Q5" s="244"/>
      <c r="R5" s="244"/>
      <c r="S5" s="244"/>
      <c r="T5" s="44"/>
      <c r="U5" s="44"/>
      <c r="V5" s="43"/>
      <c r="W5" s="45"/>
    </row>
    <row r="6" spans="1:26" ht="16.5" customHeight="1">
      <c r="A6" s="221"/>
      <c r="B6" s="224" t="s">
        <v>177</v>
      </c>
      <c r="C6" s="224"/>
      <c r="D6" s="224"/>
      <c r="E6" s="224"/>
      <c r="F6" s="224"/>
      <c r="G6" s="224"/>
      <c r="H6" s="47" t="s">
        <v>64</v>
      </c>
      <c r="I6" s="240"/>
      <c r="J6" s="240"/>
      <c r="K6" s="46" t="s">
        <v>98</v>
      </c>
      <c r="L6" s="48" t="s">
        <v>157</v>
      </c>
      <c r="M6" s="241" t="s">
        <v>167</v>
      </c>
      <c r="N6" s="241"/>
      <c r="O6" s="241"/>
      <c r="P6" s="49" t="s">
        <v>64</v>
      </c>
      <c r="Q6" s="240"/>
      <c r="R6" s="240"/>
      <c r="S6" s="49" t="s">
        <v>99</v>
      </c>
      <c r="T6" s="46" t="s">
        <v>168</v>
      </c>
      <c r="U6" s="49"/>
      <c r="V6" s="48"/>
      <c r="W6" s="50"/>
    </row>
    <row r="7" spans="1:26" ht="16.5" customHeight="1">
      <c r="A7" s="221"/>
      <c r="B7" s="224" t="s">
        <v>176</v>
      </c>
      <c r="C7" s="224"/>
      <c r="D7" s="224"/>
      <c r="E7" s="224"/>
      <c r="F7" s="224"/>
      <c r="G7" s="224"/>
      <c r="H7" s="47" t="s">
        <v>64</v>
      </c>
      <c r="I7" s="240"/>
      <c r="J7" s="240"/>
      <c r="K7" s="48" t="s">
        <v>180</v>
      </c>
      <c r="L7" s="48" t="s">
        <v>157</v>
      </c>
      <c r="M7" s="241" t="s">
        <v>167</v>
      </c>
      <c r="N7" s="241"/>
      <c r="O7" s="241"/>
      <c r="P7" s="49" t="s">
        <v>64</v>
      </c>
      <c r="Q7" s="240"/>
      <c r="R7" s="240"/>
      <c r="S7" s="49" t="s">
        <v>99</v>
      </c>
      <c r="T7" s="46" t="s">
        <v>168</v>
      </c>
      <c r="U7" s="48"/>
      <c r="V7" s="48"/>
      <c r="W7" s="50"/>
    </row>
    <row r="8" spans="1:26" ht="16.5" customHeight="1" thickBot="1">
      <c r="A8" s="222"/>
      <c r="B8" s="225" t="s">
        <v>175</v>
      </c>
      <c r="C8" s="225"/>
      <c r="D8" s="225"/>
      <c r="E8" s="225"/>
      <c r="F8" s="225"/>
      <c r="G8" s="225"/>
      <c r="H8" s="52" t="s">
        <v>64</v>
      </c>
      <c r="I8" s="242"/>
      <c r="J8" s="242"/>
      <c r="K8" s="51" t="s">
        <v>99</v>
      </c>
      <c r="L8" s="53"/>
      <c r="M8" s="242" t="s">
        <v>169</v>
      </c>
      <c r="N8" s="242"/>
      <c r="O8" s="242"/>
      <c r="P8" s="54" t="s">
        <v>64</v>
      </c>
      <c r="Q8" s="243"/>
      <c r="R8" s="243"/>
      <c r="S8" s="54" t="s">
        <v>99</v>
      </c>
      <c r="T8" s="56" t="s">
        <v>170</v>
      </c>
      <c r="U8" s="54"/>
      <c r="V8" s="55"/>
      <c r="W8" s="57"/>
    </row>
    <row r="9" spans="1:26" ht="31.9" customHeight="1" thickBot="1">
      <c r="A9" s="58" t="s">
        <v>90</v>
      </c>
      <c r="B9" s="262" t="s">
        <v>47</v>
      </c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4"/>
    </row>
    <row r="10" spans="1:26" ht="22.15" customHeight="1" thickBot="1">
      <c r="A10" s="270" t="s">
        <v>46</v>
      </c>
      <c r="B10" s="260" t="s">
        <v>19</v>
      </c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5"/>
      <c r="T10" s="59" t="s">
        <v>20</v>
      </c>
      <c r="U10" s="281" t="s">
        <v>21</v>
      </c>
      <c r="V10" s="282"/>
      <c r="W10" s="60" t="s">
        <v>22</v>
      </c>
    </row>
    <row r="11" spans="1:26" ht="22.15" customHeight="1">
      <c r="A11" s="271"/>
      <c r="B11" s="250" t="s">
        <v>23</v>
      </c>
      <c r="C11" s="228"/>
      <c r="D11" s="228"/>
      <c r="E11" s="228"/>
      <c r="F11" s="228"/>
      <c r="G11" s="228"/>
      <c r="H11" s="228"/>
      <c r="I11" s="229"/>
      <c r="J11" s="255" t="s">
        <v>24</v>
      </c>
      <c r="K11" s="228"/>
      <c r="L11" s="228"/>
      <c r="M11" s="228"/>
      <c r="N11" s="228"/>
      <c r="O11" s="228"/>
      <c r="P11" s="228"/>
      <c r="Q11" s="228"/>
      <c r="R11" s="228"/>
      <c r="S11" s="229"/>
      <c r="T11" s="341" t="s">
        <v>44</v>
      </c>
      <c r="U11" s="343" t="s">
        <v>25</v>
      </c>
      <c r="V11" s="343" t="s">
        <v>92</v>
      </c>
      <c r="W11" s="300">
        <f>IF(X11&lt;8,X11,7)</f>
        <v>1</v>
      </c>
      <c r="X11" s="40">
        <f>MAX(B14,F14)+IF((J14+O14)&gt;=2,2,J14+O14)+T14+MAX(U14,V14)+V15</f>
        <v>1</v>
      </c>
    </row>
    <row r="12" spans="1:26" ht="22.15" customHeight="1">
      <c r="A12" s="271"/>
      <c r="B12" s="250" t="s">
        <v>45</v>
      </c>
      <c r="C12" s="228"/>
      <c r="D12" s="228"/>
      <c r="E12" s="228"/>
      <c r="F12" s="228" t="s">
        <v>108</v>
      </c>
      <c r="G12" s="228"/>
      <c r="H12" s="228"/>
      <c r="I12" s="229"/>
      <c r="J12" s="255" t="s">
        <v>26</v>
      </c>
      <c r="K12" s="228"/>
      <c r="L12" s="228"/>
      <c r="M12" s="228"/>
      <c r="N12" s="228"/>
      <c r="O12" s="228" t="s">
        <v>43</v>
      </c>
      <c r="P12" s="228"/>
      <c r="Q12" s="228"/>
      <c r="R12" s="228"/>
      <c r="S12" s="259"/>
      <c r="T12" s="342"/>
      <c r="U12" s="306"/>
      <c r="V12" s="306"/>
      <c r="W12" s="301"/>
    </row>
    <row r="13" spans="1:26" ht="22.15" customHeight="1">
      <c r="A13" s="271"/>
      <c r="B13" s="232"/>
      <c r="C13" s="230"/>
      <c r="D13" s="230"/>
      <c r="E13" s="231"/>
      <c r="F13" s="303"/>
      <c r="G13" s="230"/>
      <c r="H13" s="230"/>
      <c r="I13" s="304"/>
      <c r="J13" s="230"/>
      <c r="K13" s="230"/>
      <c r="L13" s="230"/>
      <c r="M13" s="230"/>
      <c r="N13" s="231"/>
      <c r="O13" s="303"/>
      <c r="P13" s="230"/>
      <c r="Q13" s="230"/>
      <c r="R13" s="230"/>
      <c r="S13" s="304"/>
      <c r="T13" s="342"/>
      <c r="U13" s="306"/>
      <c r="V13" s="306"/>
      <c r="W13" s="301"/>
    </row>
    <row r="14" spans="1:26" ht="22.15" customHeight="1" thickBot="1">
      <c r="A14" s="271"/>
      <c r="B14" s="273">
        <f>IF(B13&lt;15,1,IF(B13&lt;45,2,3))</f>
        <v>1</v>
      </c>
      <c r="C14" s="236"/>
      <c r="D14" s="236"/>
      <c r="E14" s="274"/>
      <c r="F14" s="236">
        <f>IF(F13&lt;15,1,IF(F13&lt;45,2,3))</f>
        <v>1</v>
      </c>
      <c r="G14" s="236"/>
      <c r="H14" s="236"/>
      <c r="I14" s="237"/>
      <c r="J14" s="253">
        <f>IF(J13&lt;15,0,IF(J13&lt;30,1,2))</f>
        <v>0</v>
      </c>
      <c r="K14" s="253"/>
      <c r="L14" s="253"/>
      <c r="M14" s="253"/>
      <c r="N14" s="254"/>
      <c r="O14" s="253">
        <f>IF(O13&lt;15,0,IF(O13&lt;30,1,2))</f>
        <v>0</v>
      </c>
      <c r="P14" s="253"/>
      <c r="Q14" s="253"/>
      <c r="R14" s="253"/>
      <c r="S14" s="254"/>
      <c r="T14" s="61">
        <v>0</v>
      </c>
      <c r="U14" s="62">
        <v>0</v>
      </c>
      <c r="V14" s="62">
        <v>0</v>
      </c>
      <c r="W14" s="301"/>
    </row>
    <row r="15" spans="1:26" ht="16.5" customHeight="1">
      <c r="A15" s="271"/>
      <c r="B15" s="256" t="s">
        <v>71</v>
      </c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8"/>
      <c r="V15" s="346">
        <f>COUNTIF(X16:Z18,TRUE)</f>
        <v>0</v>
      </c>
      <c r="W15" s="301"/>
    </row>
    <row r="16" spans="1:26" s="65" customFormat="1" ht="18" customHeight="1">
      <c r="A16" s="271"/>
      <c r="B16" s="63"/>
      <c r="C16" s="267" t="s">
        <v>100</v>
      </c>
      <c r="D16" s="267"/>
      <c r="E16" s="267"/>
      <c r="F16" s="267"/>
      <c r="G16" s="267"/>
      <c r="H16" s="267"/>
      <c r="I16" s="63"/>
      <c r="J16" s="267" t="s">
        <v>104</v>
      </c>
      <c r="K16" s="267"/>
      <c r="L16" s="267"/>
      <c r="M16" s="267"/>
      <c r="N16" s="267"/>
      <c r="O16" s="267"/>
      <c r="P16" s="63"/>
      <c r="Q16" s="267" t="s">
        <v>105</v>
      </c>
      <c r="R16" s="267"/>
      <c r="S16" s="267"/>
      <c r="T16" s="267"/>
      <c r="U16" s="267"/>
      <c r="V16" s="347"/>
      <c r="W16" s="301"/>
      <c r="X16" s="64" t="b">
        <v>0</v>
      </c>
      <c r="Y16" s="64" t="b">
        <v>0</v>
      </c>
      <c r="Z16" s="64" t="b">
        <v>0</v>
      </c>
    </row>
    <row r="17" spans="1:26" s="65" customFormat="1" ht="18" customHeight="1">
      <c r="A17" s="271"/>
      <c r="B17" s="63"/>
      <c r="C17" s="267" t="s">
        <v>101</v>
      </c>
      <c r="D17" s="267"/>
      <c r="E17" s="267"/>
      <c r="F17" s="267"/>
      <c r="G17" s="267"/>
      <c r="H17" s="267"/>
      <c r="I17" s="63"/>
      <c r="J17" s="267" t="s">
        <v>102</v>
      </c>
      <c r="K17" s="267"/>
      <c r="L17" s="267"/>
      <c r="M17" s="267"/>
      <c r="N17" s="267"/>
      <c r="O17" s="267"/>
      <c r="P17" s="63"/>
      <c r="Q17" s="267" t="s">
        <v>106</v>
      </c>
      <c r="R17" s="267"/>
      <c r="S17" s="267"/>
      <c r="T17" s="267"/>
      <c r="U17" s="267"/>
      <c r="V17" s="347"/>
      <c r="W17" s="301"/>
      <c r="X17" s="64" t="b">
        <v>0</v>
      </c>
      <c r="Y17" s="64" t="b">
        <v>0</v>
      </c>
      <c r="Z17" s="64" t="b">
        <v>0</v>
      </c>
    </row>
    <row r="18" spans="1:26" s="65" customFormat="1" ht="18" customHeight="1" thickBot="1">
      <c r="A18" s="272"/>
      <c r="B18" s="66"/>
      <c r="C18" s="268" t="s">
        <v>107</v>
      </c>
      <c r="D18" s="268"/>
      <c r="E18" s="268"/>
      <c r="F18" s="268"/>
      <c r="G18" s="268"/>
      <c r="H18" s="268"/>
      <c r="I18" s="66"/>
      <c r="J18" s="268" t="s">
        <v>103</v>
      </c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315"/>
      <c r="W18" s="302"/>
      <c r="X18" s="64" t="b">
        <v>0</v>
      </c>
      <c r="Y18" s="64" t="b">
        <v>0</v>
      </c>
      <c r="Z18" s="64"/>
    </row>
    <row r="19" spans="1:26" ht="22.15" customHeight="1" thickBot="1">
      <c r="A19" s="324" t="s">
        <v>49</v>
      </c>
      <c r="B19" s="233" t="s">
        <v>19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5"/>
      <c r="T19" s="67" t="s">
        <v>20</v>
      </c>
      <c r="U19" s="281" t="s">
        <v>21</v>
      </c>
      <c r="V19" s="283"/>
      <c r="W19" s="59" t="s">
        <v>22</v>
      </c>
    </row>
    <row r="20" spans="1:26" ht="22.15" customHeight="1">
      <c r="A20" s="325"/>
      <c r="B20" s="250" t="s">
        <v>27</v>
      </c>
      <c r="C20" s="228"/>
      <c r="D20" s="228"/>
      <c r="E20" s="228"/>
      <c r="F20" s="228"/>
      <c r="G20" s="228"/>
      <c r="H20" s="228"/>
      <c r="I20" s="259"/>
      <c r="J20" s="250" t="s">
        <v>28</v>
      </c>
      <c r="K20" s="228"/>
      <c r="L20" s="228"/>
      <c r="M20" s="228"/>
      <c r="N20" s="228"/>
      <c r="O20" s="228"/>
      <c r="P20" s="228"/>
      <c r="Q20" s="228"/>
      <c r="R20" s="228"/>
      <c r="S20" s="259"/>
      <c r="T20" s="310" t="s">
        <v>72</v>
      </c>
      <c r="U20" s="286" t="s">
        <v>25</v>
      </c>
      <c r="V20" s="305" t="s">
        <v>92</v>
      </c>
      <c r="W20" s="340">
        <f>IF(X20&lt;8,X20,7)</f>
        <v>3</v>
      </c>
      <c r="X20" s="40">
        <f>B23+IF((J23+O23)&gt;=2,2,J23+O23)+T23+MAX(U23,V23)+V24</f>
        <v>3</v>
      </c>
    </row>
    <row r="21" spans="1:26" ht="22.15" customHeight="1">
      <c r="A21" s="325"/>
      <c r="B21" s="250"/>
      <c r="C21" s="228"/>
      <c r="D21" s="228"/>
      <c r="E21" s="228"/>
      <c r="F21" s="228"/>
      <c r="G21" s="228"/>
      <c r="H21" s="228"/>
      <c r="I21" s="259"/>
      <c r="J21" s="250" t="s">
        <v>29</v>
      </c>
      <c r="K21" s="228"/>
      <c r="L21" s="228"/>
      <c r="M21" s="228"/>
      <c r="N21" s="228"/>
      <c r="O21" s="228" t="s">
        <v>48</v>
      </c>
      <c r="P21" s="228"/>
      <c r="Q21" s="228"/>
      <c r="R21" s="228"/>
      <c r="S21" s="259"/>
      <c r="T21" s="287"/>
      <c r="U21" s="287"/>
      <c r="V21" s="306"/>
      <c r="W21" s="301"/>
    </row>
    <row r="22" spans="1:26" ht="22.15" customHeight="1">
      <c r="A22" s="325"/>
      <c r="B22" s="232"/>
      <c r="C22" s="230"/>
      <c r="D22" s="230"/>
      <c r="E22" s="230"/>
      <c r="F22" s="230"/>
      <c r="G22" s="230"/>
      <c r="H22" s="230"/>
      <c r="I22" s="304"/>
      <c r="J22" s="232"/>
      <c r="K22" s="230"/>
      <c r="L22" s="230"/>
      <c r="M22" s="230"/>
      <c r="N22" s="231"/>
      <c r="O22" s="303"/>
      <c r="P22" s="230"/>
      <c r="Q22" s="230"/>
      <c r="R22" s="230"/>
      <c r="S22" s="304"/>
      <c r="T22" s="287"/>
      <c r="U22" s="287"/>
      <c r="V22" s="306"/>
      <c r="W22" s="301"/>
    </row>
    <row r="23" spans="1:26" ht="22.15" customHeight="1" thickBot="1">
      <c r="A23" s="325"/>
      <c r="B23" s="273">
        <f>IF(OR(B22&lt;=30,B22&gt;=120),3,IF(OR(AND((B22&gt;30),(B22&lt;=60)),AND((B22&gt;=100),(B22&lt;120))),2,1))</f>
        <v>3</v>
      </c>
      <c r="C23" s="236"/>
      <c r="D23" s="236"/>
      <c r="E23" s="236"/>
      <c r="F23" s="236"/>
      <c r="G23" s="236"/>
      <c r="H23" s="236"/>
      <c r="I23" s="237"/>
      <c r="J23" s="273">
        <f>IF(J22&lt;60,0,IF(J22&lt;80,1,2))</f>
        <v>0</v>
      </c>
      <c r="K23" s="236"/>
      <c r="L23" s="236"/>
      <c r="M23" s="236"/>
      <c r="N23" s="274"/>
      <c r="O23" s="315">
        <f>IF(O22&lt;60,0,IF(O22&lt;80,1,2))</f>
        <v>0</v>
      </c>
      <c r="P23" s="236"/>
      <c r="Q23" s="236"/>
      <c r="R23" s="236"/>
      <c r="S23" s="237"/>
      <c r="T23" s="68">
        <v>0</v>
      </c>
      <c r="U23" s="69">
        <v>0</v>
      </c>
      <c r="V23" s="70">
        <v>0</v>
      </c>
      <c r="W23" s="301"/>
    </row>
    <row r="24" spans="1:26" ht="15" customHeight="1">
      <c r="A24" s="325"/>
      <c r="B24" s="256" t="s">
        <v>71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8"/>
      <c r="V24" s="344">
        <f>COUNTIF(X25:Z26,TRUE)</f>
        <v>0</v>
      </c>
      <c r="W24" s="301"/>
    </row>
    <row r="25" spans="1:26" ht="18" customHeight="1">
      <c r="A25" s="325"/>
      <c r="B25" s="71"/>
      <c r="C25" s="267" t="s">
        <v>100</v>
      </c>
      <c r="D25" s="267"/>
      <c r="E25" s="267"/>
      <c r="F25" s="267"/>
      <c r="G25" s="267"/>
      <c r="H25" s="267"/>
      <c r="I25" s="63"/>
      <c r="J25" s="267" t="s">
        <v>109</v>
      </c>
      <c r="K25" s="267"/>
      <c r="L25" s="267"/>
      <c r="M25" s="267"/>
      <c r="N25" s="267"/>
      <c r="O25" s="267"/>
      <c r="P25" s="63"/>
      <c r="Q25" s="348" t="s">
        <v>257</v>
      </c>
      <c r="R25" s="348"/>
      <c r="S25" s="348"/>
      <c r="T25" s="348"/>
      <c r="U25" s="348"/>
      <c r="V25" s="345"/>
      <c r="W25" s="301"/>
      <c r="X25" s="40" t="b">
        <v>0</v>
      </c>
      <c r="Y25" s="40" t="b">
        <v>0</v>
      </c>
      <c r="Z25" s="40" t="b">
        <v>0</v>
      </c>
    </row>
    <row r="26" spans="1:26" ht="18" customHeight="1" thickBot="1">
      <c r="A26" s="326"/>
      <c r="B26" s="72"/>
      <c r="C26" s="268" t="s">
        <v>110</v>
      </c>
      <c r="D26" s="268"/>
      <c r="E26" s="268"/>
      <c r="F26" s="268"/>
      <c r="G26" s="268"/>
      <c r="H26" s="268"/>
      <c r="I26" s="66"/>
      <c r="J26" s="268" t="s">
        <v>111</v>
      </c>
      <c r="K26" s="268"/>
      <c r="L26" s="268"/>
      <c r="M26" s="268"/>
      <c r="N26" s="268"/>
      <c r="O26" s="268"/>
      <c r="P26" s="66"/>
      <c r="Q26" s="268" t="s">
        <v>112</v>
      </c>
      <c r="R26" s="268"/>
      <c r="S26" s="268"/>
      <c r="T26" s="268"/>
      <c r="U26" s="268"/>
      <c r="V26" s="215"/>
      <c r="W26" s="302"/>
      <c r="X26" s="40" t="b">
        <v>0</v>
      </c>
      <c r="Y26" s="40" t="b">
        <v>0</v>
      </c>
      <c r="Z26" s="40" t="b">
        <v>0</v>
      </c>
    </row>
    <row r="27" spans="1:26" ht="22.15" customHeight="1" thickBot="1">
      <c r="A27" s="270" t="s">
        <v>50</v>
      </c>
      <c r="B27" s="233" t="s">
        <v>19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67" t="s">
        <v>20</v>
      </c>
      <c r="U27" s="281" t="s">
        <v>21</v>
      </c>
      <c r="V27" s="282"/>
      <c r="W27" s="59" t="s">
        <v>22</v>
      </c>
    </row>
    <row r="28" spans="1:26" ht="22.15" customHeight="1">
      <c r="A28" s="271"/>
      <c r="B28" s="250" t="s">
        <v>23</v>
      </c>
      <c r="C28" s="228"/>
      <c r="D28" s="228"/>
      <c r="E28" s="228"/>
      <c r="F28" s="228"/>
      <c r="G28" s="228"/>
      <c r="H28" s="228"/>
      <c r="I28" s="259"/>
      <c r="J28" s="250" t="s">
        <v>30</v>
      </c>
      <c r="K28" s="228"/>
      <c r="L28" s="228"/>
      <c r="M28" s="228"/>
      <c r="N28" s="228"/>
      <c r="O28" s="228"/>
      <c r="P28" s="228"/>
      <c r="Q28" s="228"/>
      <c r="R28" s="228"/>
      <c r="S28" s="259"/>
      <c r="T28" s="310" t="s">
        <v>72</v>
      </c>
      <c r="U28" s="331" t="s">
        <v>25</v>
      </c>
      <c r="V28" s="343" t="s">
        <v>92</v>
      </c>
      <c r="W28" s="340">
        <f>IF(X28&lt;8,X28,7)</f>
        <v>1</v>
      </c>
      <c r="X28" s="40">
        <f>MAX(B31,D31,G31)+IF((J31+L31+N31+P31)&gt;=2,2,J31+L31+N31+P31)+T31+MAX(U31,V31)+V32</f>
        <v>1</v>
      </c>
    </row>
    <row r="29" spans="1:26" ht="37.15" customHeight="1">
      <c r="A29" s="271"/>
      <c r="B29" s="250" t="s">
        <v>56</v>
      </c>
      <c r="C29" s="228"/>
      <c r="D29" s="228" t="s">
        <v>55</v>
      </c>
      <c r="E29" s="228"/>
      <c r="F29" s="228"/>
      <c r="G29" s="228" t="s">
        <v>57</v>
      </c>
      <c r="H29" s="228"/>
      <c r="I29" s="259"/>
      <c r="J29" s="250" t="s">
        <v>43</v>
      </c>
      <c r="K29" s="228"/>
      <c r="L29" s="228" t="s">
        <v>158</v>
      </c>
      <c r="M29" s="228"/>
      <c r="N29" s="228" t="s">
        <v>159</v>
      </c>
      <c r="O29" s="228"/>
      <c r="P29" s="228" t="s">
        <v>160</v>
      </c>
      <c r="Q29" s="228"/>
      <c r="R29" s="228"/>
      <c r="S29" s="259"/>
      <c r="T29" s="287"/>
      <c r="U29" s="332"/>
      <c r="V29" s="306"/>
      <c r="W29" s="301"/>
    </row>
    <row r="30" spans="1:26" ht="22.15" customHeight="1">
      <c r="A30" s="271"/>
      <c r="B30" s="251"/>
      <c r="C30" s="252"/>
      <c r="D30" s="276"/>
      <c r="E30" s="276"/>
      <c r="F30" s="276"/>
      <c r="G30" s="276"/>
      <c r="H30" s="276"/>
      <c r="I30" s="303"/>
      <c r="J30" s="275"/>
      <c r="K30" s="276"/>
      <c r="L30" s="276"/>
      <c r="M30" s="276"/>
      <c r="N30" s="276"/>
      <c r="O30" s="276"/>
      <c r="P30" s="276"/>
      <c r="Q30" s="276"/>
      <c r="R30" s="276"/>
      <c r="S30" s="303"/>
      <c r="T30" s="287"/>
      <c r="U30" s="332"/>
      <c r="V30" s="306"/>
      <c r="W30" s="301"/>
    </row>
    <row r="31" spans="1:26" ht="22.15" customHeight="1" thickBot="1">
      <c r="A31" s="271"/>
      <c r="B31" s="329">
        <f>IF(AND(B30&gt;-5,B30&lt;5),1,0)</f>
        <v>1</v>
      </c>
      <c r="C31" s="330"/>
      <c r="D31" s="327">
        <f>IF(D30&lt;5,0,IF(D30&lt;45,1,IF(D30&lt;90,2,3)))</f>
        <v>0</v>
      </c>
      <c r="E31" s="327"/>
      <c r="F31" s="327"/>
      <c r="G31" s="327">
        <f>IF(G30=0,0,IF(G30&lt;20,2,3))</f>
        <v>0</v>
      </c>
      <c r="H31" s="327"/>
      <c r="I31" s="328"/>
      <c r="J31" s="279">
        <f>IF(J30&lt;30,0,IF(J30&lt;45,1,2))</f>
        <v>0</v>
      </c>
      <c r="K31" s="280"/>
      <c r="L31" s="280">
        <f>IF(L30&lt;10,0,IF(L30&lt;30,1,2))</f>
        <v>0</v>
      </c>
      <c r="M31" s="280"/>
      <c r="N31" s="280">
        <f>IF(N30&lt;10,0,IF(N30&lt;30,1,2))</f>
        <v>0</v>
      </c>
      <c r="O31" s="280"/>
      <c r="P31" s="280">
        <f>IF(P30&lt;30,0,IF(P30&lt;45,1,2))</f>
        <v>0</v>
      </c>
      <c r="Q31" s="280"/>
      <c r="R31" s="280"/>
      <c r="S31" s="319"/>
      <c r="T31" s="62">
        <v>0</v>
      </c>
      <c r="U31" s="62">
        <v>0</v>
      </c>
      <c r="V31" s="70">
        <v>0</v>
      </c>
      <c r="W31" s="301"/>
    </row>
    <row r="32" spans="1:26" ht="14.25" customHeight="1">
      <c r="A32" s="271"/>
      <c r="B32" s="256" t="s">
        <v>71</v>
      </c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8"/>
      <c r="V32" s="346">
        <f>COUNTIF(X33:Z36,TRUE)</f>
        <v>0</v>
      </c>
      <c r="W32" s="301"/>
    </row>
    <row r="33" spans="1:26" ht="18" customHeight="1">
      <c r="A33" s="271"/>
      <c r="B33" s="71"/>
      <c r="C33" s="296" t="s">
        <v>100</v>
      </c>
      <c r="D33" s="296"/>
      <c r="E33" s="296"/>
      <c r="F33" s="296"/>
      <c r="G33" s="296"/>
      <c r="H33" s="296"/>
      <c r="I33" s="63"/>
      <c r="J33" s="267" t="s">
        <v>115</v>
      </c>
      <c r="K33" s="267"/>
      <c r="L33" s="267"/>
      <c r="M33" s="267"/>
      <c r="N33" s="267"/>
      <c r="O33" s="73"/>
      <c r="P33" s="267" t="s">
        <v>119</v>
      </c>
      <c r="Q33" s="267"/>
      <c r="R33" s="267"/>
      <c r="S33" s="267"/>
      <c r="T33" s="267"/>
      <c r="U33" s="267"/>
      <c r="V33" s="347"/>
      <c r="W33" s="301"/>
      <c r="X33" s="40" t="b">
        <v>0</v>
      </c>
      <c r="Y33" s="40" t="b">
        <v>0</v>
      </c>
      <c r="Z33" s="40" t="b">
        <v>0</v>
      </c>
    </row>
    <row r="34" spans="1:26" ht="18" customHeight="1">
      <c r="A34" s="271"/>
      <c r="B34" s="71"/>
      <c r="C34" s="296" t="s">
        <v>113</v>
      </c>
      <c r="D34" s="296"/>
      <c r="E34" s="296"/>
      <c r="F34" s="296"/>
      <c r="G34" s="296"/>
      <c r="H34" s="296"/>
      <c r="I34" s="63"/>
      <c r="J34" s="267" t="s">
        <v>116</v>
      </c>
      <c r="K34" s="267"/>
      <c r="L34" s="267"/>
      <c r="M34" s="267"/>
      <c r="N34" s="267"/>
      <c r="O34" s="73"/>
      <c r="P34" s="267" t="s">
        <v>120</v>
      </c>
      <c r="Q34" s="267"/>
      <c r="R34" s="267"/>
      <c r="S34" s="267"/>
      <c r="T34" s="267"/>
      <c r="U34" s="267"/>
      <c r="V34" s="347"/>
      <c r="W34" s="301"/>
      <c r="X34" s="40" t="b">
        <v>0</v>
      </c>
      <c r="Y34" s="40" t="b">
        <v>0</v>
      </c>
      <c r="Z34" s="40" t="b">
        <v>0</v>
      </c>
    </row>
    <row r="35" spans="1:26" ht="18" customHeight="1">
      <c r="A35" s="271"/>
      <c r="B35" s="71"/>
      <c r="C35" s="297" t="s">
        <v>122</v>
      </c>
      <c r="D35" s="297"/>
      <c r="E35" s="297"/>
      <c r="F35" s="297"/>
      <c r="G35" s="297"/>
      <c r="H35" s="297"/>
      <c r="I35" s="63"/>
      <c r="J35" s="267" t="s">
        <v>117</v>
      </c>
      <c r="K35" s="267"/>
      <c r="L35" s="267"/>
      <c r="M35" s="267"/>
      <c r="N35" s="267"/>
      <c r="O35" s="73"/>
      <c r="P35" s="267" t="s">
        <v>121</v>
      </c>
      <c r="Q35" s="267"/>
      <c r="R35" s="267"/>
      <c r="S35" s="267"/>
      <c r="T35" s="267"/>
      <c r="U35" s="267"/>
      <c r="V35" s="347"/>
      <c r="W35" s="301"/>
      <c r="X35" s="40" t="b">
        <v>0</v>
      </c>
      <c r="Y35" s="40" t="b">
        <v>0</v>
      </c>
      <c r="Z35" s="40" t="b">
        <v>0</v>
      </c>
    </row>
    <row r="36" spans="1:26" ht="18" customHeight="1" thickBot="1">
      <c r="A36" s="272"/>
      <c r="B36" s="72"/>
      <c r="C36" s="298" t="s">
        <v>114</v>
      </c>
      <c r="D36" s="298"/>
      <c r="E36" s="298"/>
      <c r="F36" s="298"/>
      <c r="G36" s="298"/>
      <c r="H36" s="298"/>
      <c r="I36" s="66"/>
      <c r="J36" s="268" t="s">
        <v>118</v>
      </c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315"/>
      <c r="W36" s="302"/>
      <c r="X36" s="40" t="b">
        <v>0</v>
      </c>
      <c r="Y36" s="40" t="b">
        <v>0</v>
      </c>
    </row>
    <row r="37" spans="1:26" ht="22.15" customHeight="1" thickBot="1">
      <c r="A37" s="270" t="s">
        <v>31</v>
      </c>
      <c r="B37" s="233" t="s">
        <v>19</v>
      </c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5"/>
      <c r="T37" s="59" t="s">
        <v>20</v>
      </c>
      <c r="U37" s="281" t="s">
        <v>21</v>
      </c>
      <c r="V37" s="283"/>
      <c r="W37" s="60" t="s">
        <v>22</v>
      </c>
      <c r="Y37" s="299"/>
      <c r="Z37" s="299"/>
    </row>
    <row r="38" spans="1:26" ht="22.15" customHeight="1">
      <c r="A38" s="271"/>
      <c r="B38" s="250" t="s">
        <v>23</v>
      </c>
      <c r="C38" s="228"/>
      <c r="D38" s="228"/>
      <c r="E38" s="228"/>
      <c r="F38" s="228"/>
      <c r="G38" s="228"/>
      <c r="H38" s="228"/>
      <c r="I38" s="259"/>
      <c r="J38" s="250" t="s">
        <v>32</v>
      </c>
      <c r="K38" s="228"/>
      <c r="L38" s="228"/>
      <c r="M38" s="228"/>
      <c r="N38" s="228"/>
      <c r="O38" s="228"/>
      <c r="P38" s="228"/>
      <c r="Q38" s="228"/>
      <c r="R38" s="228"/>
      <c r="S38" s="259"/>
      <c r="T38" s="317" t="s">
        <v>161</v>
      </c>
      <c r="U38" s="305" t="s">
        <v>25</v>
      </c>
      <c r="V38" s="310" t="s">
        <v>93</v>
      </c>
      <c r="W38" s="300">
        <f>IF(X38&lt;8,X38,7)</f>
        <v>1</v>
      </c>
      <c r="X38" s="40">
        <f>MAX(B41,D41,G41)+IF((J41+O41)&gt;=2,2,J41+O41)+T41+MAX(U41,V41)+V42</f>
        <v>1</v>
      </c>
      <c r="Y38" s="299"/>
      <c r="Z38" s="299"/>
    </row>
    <row r="39" spans="1:26" ht="37.15" customHeight="1">
      <c r="A39" s="271"/>
      <c r="B39" s="250" t="s">
        <v>56</v>
      </c>
      <c r="C39" s="228"/>
      <c r="D39" s="228" t="s">
        <v>55</v>
      </c>
      <c r="E39" s="228"/>
      <c r="F39" s="228"/>
      <c r="G39" s="228" t="s">
        <v>57</v>
      </c>
      <c r="H39" s="228"/>
      <c r="I39" s="259"/>
      <c r="J39" s="250" t="s">
        <v>58</v>
      </c>
      <c r="K39" s="228"/>
      <c r="L39" s="228"/>
      <c r="M39" s="228"/>
      <c r="N39" s="228"/>
      <c r="O39" s="228" t="s">
        <v>59</v>
      </c>
      <c r="P39" s="228"/>
      <c r="Q39" s="228"/>
      <c r="R39" s="228"/>
      <c r="S39" s="259"/>
      <c r="T39" s="318"/>
      <c r="U39" s="306"/>
      <c r="V39" s="287"/>
      <c r="W39" s="301"/>
    </row>
    <row r="40" spans="1:26" ht="22.15" customHeight="1">
      <c r="A40" s="271"/>
      <c r="B40" s="251"/>
      <c r="C40" s="252"/>
      <c r="D40" s="276"/>
      <c r="E40" s="276"/>
      <c r="F40" s="276"/>
      <c r="G40" s="276"/>
      <c r="H40" s="276"/>
      <c r="I40" s="303"/>
      <c r="J40" s="275"/>
      <c r="K40" s="276"/>
      <c r="L40" s="276"/>
      <c r="M40" s="276"/>
      <c r="N40" s="276"/>
      <c r="O40" s="276"/>
      <c r="P40" s="276"/>
      <c r="Q40" s="276"/>
      <c r="R40" s="276"/>
      <c r="S40" s="303"/>
      <c r="T40" s="318"/>
      <c r="U40" s="306"/>
      <c r="V40" s="287"/>
      <c r="W40" s="301"/>
    </row>
    <row r="41" spans="1:26" ht="22.15" customHeight="1" thickBot="1">
      <c r="A41" s="271"/>
      <c r="B41" s="277">
        <f>IF(B40&lt;5,1,0)</f>
        <v>1</v>
      </c>
      <c r="C41" s="278"/>
      <c r="D41" s="280">
        <f>IF(D40&lt;=5,0,IF(D40&lt;20,1,IF(D40&lt;45,2,3)))</f>
        <v>0</v>
      </c>
      <c r="E41" s="280"/>
      <c r="F41" s="280"/>
      <c r="G41" s="280">
        <f>IF(G40=0,0,IF(G40&lt;5,1,IF(G40&lt;20,2,3)))</f>
        <v>0</v>
      </c>
      <c r="H41" s="280"/>
      <c r="I41" s="319"/>
      <c r="J41" s="279">
        <f>IF(J40&lt;20,0,IF(J40&lt;45,1,2))</f>
        <v>0</v>
      </c>
      <c r="K41" s="280"/>
      <c r="L41" s="280"/>
      <c r="M41" s="280"/>
      <c r="N41" s="280"/>
      <c r="O41" s="280">
        <f>IF(O40&lt;10,0,IF(O40&lt;30,1,2))</f>
        <v>0</v>
      </c>
      <c r="P41" s="280"/>
      <c r="Q41" s="280"/>
      <c r="R41" s="280"/>
      <c r="S41" s="319"/>
      <c r="T41" s="69">
        <v>0</v>
      </c>
      <c r="U41" s="69">
        <v>0</v>
      </c>
      <c r="V41" s="70">
        <v>0</v>
      </c>
      <c r="W41" s="301"/>
    </row>
    <row r="42" spans="1:26" ht="15.75" customHeight="1">
      <c r="A42" s="271"/>
      <c r="B42" s="256" t="s">
        <v>71</v>
      </c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8"/>
      <c r="V42" s="344">
        <f>COUNTIF(X43:Y46,TRUE)</f>
        <v>0</v>
      </c>
      <c r="W42" s="301"/>
    </row>
    <row r="43" spans="1:26" ht="18" customHeight="1">
      <c r="A43" s="271"/>
      <c r="B43" s="74"/>
      <c r="C43" s="322" t="s">
        <v>123</v>
      </c>
      <c r="D43" s="322"/>
      <c r="E43" s="322"/>
      <c r="F43" s="322"/>
      <c r="G43" s="322"/>
      <c r="H43" s="322"/>
      <c r="I43" s="322"/>
      <c r="J43" s="322"/>
      <c r="K43" s="322"/>
      <c r="L43" s="322"/>
      <c r="M43" s="322"/>
      <c r="N43" s="75"/>
      <c r="O43" s="322" t="s">
        <v>125</v>
      </c>
      <c r="P43" s="322"/>
      <c r="Q43" s="322"/>
      <c r="R43" s="322"/>
      <c r="S43" s="322"/>
      <c r="T43" s="322"/>
      <c r="U43" s="322"/>
      <c r="V43" s="345"/>
      <c r="W43" s="301"/>
      <c r="X43" s="40" t="b">
        <v>0</v>
      </c>
      <c r="Y43" s="40" t="b">
        <v>0</v>
      </c>
    </row>
    <row r="44" spans="1:26" ht="18" customHeight="1" thickBot="1">
      <c r="A44" s="271"/>
      <c r="B44" s="74"/>
      <c r="C44" s="322" t="s">
        <v>124</v>
      </c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75"/>
      <c r="O44" s="322" t="s">
        <v>126</v>
      </c>
      <c r="P44" s="322"/>
      <c r="Q44" s="322"/>
      <c r="R44" s="322"/>
      <c r="S44" s="322"/>
      <c r="T44" s="322"/>
      <c r="U44" s="333"/>
      <c r="V44" s="352"/>
      <c r="W44" s="301"/>
      <c r="X44" s="40" t="b">
        <v>0</v>
      </c>
      <c r="Y44" s="40" t="b">
        <v>0</v>
      </c>
    </row>
    <row r="45" spans="1:26" ht="18" customHeight="1">
      <c r="A45" s="271"/>
      <c r="B45" s="288"/>
      <c r="C45" s="289"/>
      <c r="D45" s="334" t="s">
        <v>73</v>
      </c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6"/>
      <c r="V45" s="76"/>
      <c r="W45" s="301"/>
      <c r="X45" s="40" t="b">
        <v>0</v>
      </c>
    </row>
    <row r="46" spans="1:26" ht="18" customHeight="1" thickBot="1">
      <c r="A46" s="272"/>
      <c r="B46" s="290"/>
      <c r="C46" s="291"/>
      <c r="D46" s="337" t="s">
        <v>74</v>
      </c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9"/>
      <c r="V46" s="77"/>
      <c r="W46" s="302"/>
      <c r="X46" s="40" t="b">
        <v>0</v>
      </c>
    </row>
    <row r="47" spans="1:26" ht="22.15" customHeight="1" thickBot="1">
      <c r="A47" s="270" t="s">
        <v>51</v>
      </c>
      <c r="B47" s="233" t="s">
        <v>19</v>
      </c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5"/>
      <c r="T47" s="60" t="s">
        <v>20</v>
      </c>
      <c r="U47" s="284" t="s">
        <v>21</v>
      </c>
      <c r="V47" s="285"/>
      <c r="W47" s="59" t="s">
        <v>22</v>
      </c>
    </row>
    <row r="48" spans="1:26" ht="22.15" customHeight="1">
      <c r="A48" s="271"/>
      <c r="B48" s="250" t="s">
        <v>23</v>
      </c>
      <c r="C48" s="228"/>
      <c r="D48" s="228"/>
      <c r="E48" s="228"/>
      <c r="F48" s="228"/>
      <c r="G48" s="228"/>
      <c r="H48" s="228"/>
      <c r="I48" s="229"/>
      <c r="J48" s="255" t="s">
        <v>32</v>
      </c>
      <c r="K48" s="228"/>
      <c r="L48" s="228"/>
      <c r="M48" s="228"/>
      <c r="N48" s="228"/>
      <c r="O48" s="228"/>
      <c r="P48" s="228"/>
      <c r="Q48" s="228"/>
      <c r="R48" s="228"/>
      <c r="S48" s="259"/>
      <c r="T48" s="320" t="s">
        <v>75</v>
      </c>
      <c r="U48" s="310" t="s">
        <v>25</v>
      </c>
      <c r="V48" s="310" t="s">
        <v>93</v>
      </c>
      <c r="W48" s="300">
        <f>IF(X48&lt;8,X48,7)</f>
        <v>1</v>
      </c>
      <c r="X48" s="40">
        <f>MAX(B51,F51)+IF((J51+O51)&gt;=2,2,J51+O51)+T51+MAX(U51,V51)+V52</f>
        <v>1</v>
      </c>
    </row>
    <row r="49" spans="1:38" ht="26.45" customHeight="1">
      <c r="A49" s="271"/>
      <c r="B49" s="250" t="s">
        <v>27</v>
      </c>
      <c r="C49" s="228"/>
      <c r="D49" s="228"/>
      <c r="E49" s="228"/>
      <c r="F49" s="228" t="s">
        <v>60</v>
      </c>
      <c r="G49" s="228"/>
      <c r="H49" s="228"/>
      <c r="I49" s="229"/>
      <c r="J49" s="255" t="s">
        <v>61</v>
      </c>
      <c r="K49" s="228"/>
      <c r="L49" s="228"/>
      <c r="M49" s="228"/>
      <c r="N49" s="228"/>
      <c r="O49" s="228" t="s">
        <v>62</v>
      </c>
      <c r="P49" s="228"/>
      <c r="Q49" s="228"/>
      <c r="R49" s="228"/>
      <c r="S49" s="259"/>
      <c r="T49" s="321"/>
      <c r="U49" s="287"/>
      <c r="V49" s="287"/>
      <c r="W49" s="301"/>
    </row>
    <row r="50" spans="1:38" ht="22.15" customHeight="1">
      <c r="A50" s="271"/>
      <c r="B50" s="232"/>
      <c r="C50" s="230"/>
      <c r="D50" s="230"/>
      <c r="E50" s="231"/>
      <c r="F50" s="276"/>
      <c r="G50" s="276"/>
      <c r="H50" s="276"/>
      <c r="I50" s="303"/>
      <c r="J50" s="251"/>
      <c r="K50" s="252"/>
      <c r="L50" s="252"/>
      <c r="M50" s="252"/>
      <c r="N50" s="252"/>
      <c r="O50" s="276"/>
      <c r="P50" s="276"/>
      <c r="Q50" s="276"/>
      <c r="R50" s="276"/>
      <c r="S50" s="303"/>
      <c r="T50" s="321"/>
      <c r="U50" s="287"/>
      <c r="V50" s="287"/>
      <c r="W50" s="301"/>
    </row>
    <row r="51" spans="1:38" ht="22.15" customHeight="1" thickBot="1">
      <c r="A51" s="271"/>
      <c r="B51" s="279">
        <f>IF(B50&lt;20,1,IF(B50&lt;45,2,3))</f>
        <v>1</v>
      </c>
      <c r="C51" s="280"/>
      <c r="D51" s="280"/>
      <c r="E51" s="280"/>
      <c r="F51" s="280">
        <f>IF(F50=0,0,IF(F50&lt;30,2,3))</f>
        <v>0</v>
      </c>
      <c r="G51" s="280"/>
      <c r="H51" s="280"/>
      <c r="I51" s="319"/>
      <c r="J51" s="277">
        <f>IF(J50&lt;10,0,IF(J50&lt;30,1,2))</f>
        <v>0</v>
      </c>
      <c r="K51" s="278"/>
      <c r="L51" s="278"/>
      <c r="M51" s="278"/>
      <c r="N51" s="278"/>
      <c r="O51" s="280">
        <f>IF(O50&lt;10,0,IF(O50&lt;30,1,2))</f>
        <v>0</v>
      </c>
      <c r="P51" s="280"/>
      <c r="Q51" s="280"/>
      <c r="R51" s="280"/>
      <c r="S51" s="319"/>
      <c r="T51" s="68">
        <v>0</v>
      </c>
      <c r="U51" s="69">
        <v>0</v>
      </c>
      <c r="V51" s="70">
        <v>0</v>
      </c>
      <c r="W51" s="301"/>
    </row>
    <row r="52" spans="1:38" ht="15.75" customHeight="1">
      <c r="A52" s="271"/>
      <c r="B52" s="256" t="s">
        <v>71</v>
      </c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8"/>
      <c r="V52" s="344">
        <f>COUNTIF(X53:Z57,TRUE)</f>
        <v>0</v>
      </c>
      <c r="W52" s="301"/>
    </row>
    <row r="53" spans="1:38" ht="18" customHeight="1">
      <c r="A53" s="271"/>
      <c r="B53" s="71"/>
      <c r="C53" s="316" t="s">
        <v>127</v>
      </c>
      <c r="D53" s="316"/>
      <c r="E53" s="316"/>
      <c r="F53" s="316"/>
      <c r="G53" s="316"/>
      <c r="H53" s="316"/>
      <c r="I53" s="316"/>
      <c r="K53" s="316" t="s">
        <v>174</v>
      </c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45"/>
      <c r="W53" s="301"/>
      <c r="X53" s="40" t="b">
        <v>0</v>
      </c>
      <c r="Y53" s="40" t="b">
        <v>0</v>
      </c>
    </row>
    <row r="54" spans="1:38" ht="18" customHeight="1">
      <c r="A54" s="271"/>
      <c r="B54" s="78"/>
      <c r="C54" s="224" t="s">
        <v>165</v>
      </c>
      <c r="D54" s="224"/>
      <c r="E54" s="224"/>
      <c r="F54" s="224"/>
      <c r="G54" s="224"/>
      <c r="H54" s="224"/>
      <c r="I54" s="224"/>
      <c r="K54" s="316" t="s">
        <v>120</v>
      </c>
      <c r="L54" s="316"/>
      <c r="M54" s="316"/>
      <c r="N54" s="316"/>
      <c r="O54" s="316"/>
      <c r="P54" s="316"/>
      <c r="Q54" s="316"/>
      <c r="R54" s="79"/>
      <c r="S54" s="316" t="s">
        <v>130</v>
      </c>
      <c r="T54" s="316"/>
      <c r="U54" s="316"/>
      <c r="V54" s="345"/>
      <c r="W54" s="301"/>
      <c r="X54" s="40" t="b">
        <v>0</v>
      </c>
      <c r="Y54" s="40" t="b">
        <v>0</v>
      </c>
      <c r="Z54" s="40" t="b">
        <v>0</v>
      </c>
    </row>
    <row r="55" spans="1:38" ht="18" customHeight="1" thickBot="1">
      <c r="A55" s="271"/>
      <c r="B55" s="78"/>
      <c r="C55" s="316" t="s">
        <v>128</v>
      </c>
      <c r="D55" s="316"/>
      <c r="E55" s="316"/>
      <c r="F55" s="316"/>
      <c r="G55" s="316"/>
      <c r="H55" s="316"/>
      <c r="I55" s="316"/>
      <c r="K55" s="316" t="s">
        <v>129</v>
      </c>
      <c r="L55" s="316"/>
      <c r="M55" s="316"/>
      <c r="N55" s="316"/>
      <c r="O55" s="316"/>
      <c r="P55" s="316"/>
      <c r="Q55" s="316"/>
      <c r="R55" s="79"/>
      <c r="S55" s="316" t="s">
        <v>131</v>
      </c>
      <c r="T55" s="316"/>
      <c r="U55" s="316"/>
      <c r="V55" s="352"/>
      <c r="W55" s="301"/>
      <c r="X55" s="40" t="b">
        <v>0</v>
      </c>
      <c r="Y55" s="40" t="b">
        <v>0</v>
      </c>
      <c r="Z55" s="80" t="b">
        <v>0</v>
      </c>
      <c r="AA55" s="47"/>
      <c r="AB55" s="47"/>
      <c r="AC55" s="47"/>
      <c r="AD55" s="47"/>
      <c r="AE55" s="47"/>
      <c r="AF55" s="47"/>
      <c r="AG55" s="47"/>
      <c r="AH55" s="46"/>
      <c r="AI55" s="46"/>
      <c r="AJ55" s="46"/>
      <c r="AK55" s="46"/>
      <c r="AL55" s="46"/>
    </row>
    <row r="56" spans="1:38" ht="18" customHeight="1">
      <c r="A56" s="271"/>
      <c r="B56" s="292"/>
      <c r="C56" s="293"/>
      <c r="D56" s="356" t="s">
        <v>77</v>
      </c>
      <c r="E56" s="357"/>
      <c r="F56" s="357"/>
      <c r="G56" s="357"/>
      <c r="H56" s="357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8"/>
      <c r="V56" s="76"/>
      <c r="W56" s="301"/>
      <c r="X56" s="40" t="b">
        <v>0</v>
      </c>
    </row>
    <row r="57" spans="1:38" ht="18" customHeight="1" thickBot="1">
      <c r="A57" s="272"/>
      <c r="B57" s="294"/>
      <c r="C57" s="295"/>
      <c r="D57" s="359" t="s">
        <v>78</v>
      </c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1"/>
      <c r="V57" s="77"/>
      <c r="W57" s="302"/>
      <c r="X57" s="40" t="b">
        <v>0</v>
      </c>
    </row>
    <row r="58" spans="1:38" ht="28.9" customHeight="1" thickBot="1">
      <c r="A58" s="270" t="s">
        <v>52</v>
      </c>
      <c r="B58" s="233" t="s">
        <v>33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59" t="s">
        <v>20</v>
      </c>
      <c r="U58" s="59" t="s">
        <v>34</v>
      </c>
      <c r="V58" s="81" t="s">
        <v>96</v>
      </c>
      <c r="W58" s="59" t="s">
        <v>22</v>
      </c>
    </row>
    <row r="59" spans="1:38" ht="27.6" customHeight="1">
      <c r="A59" s="271"/>
      <c r="B59" s="250" t="s">
        <v>53</v>
      </c>
      <c r="C59" s="228"/>
      <c r="D59" s="228"/>
      <c r="E59" s="228"/>
      <c r="F59" s="228"/>
      <c r="G59" s="228"/>
      <c r="H59" s="228"/>
      <c r="I59" s="228"/>
      <c r="J59" s="259"/>
      <c r="K59" s="250" t="s">
        <v>54</v>
      </c>
      <c r="L59" s="228"/>
      <c r="M59" s="228"/>
      <c r="N59" s="228"/>
      <c r="O59" s="228"/>
      <c r="P59" s="228"/>
      <c r="Q59" s="228"/>
      <c r="R59" s="228"/>
      <c r="S59" s="259"/>
      <c r="T59" s="317" t="s">
        <v>76</v>
      </c>
      <c r="U59" s="305" t="s">
        <v>25</v>
      </c>
      <c r="V59" s="310" t="s">
        <v>96</v>
      </c>
      <c r="W59" s="307">
        <f>IF(X59&lt;8,X59,7)</f>
        <v>0</v>
      </c>
      <c r="X59" s="40">
        <f>B62+IF((K62+N62+Q62)&gt;=2,2,K62+N62+Q62)+T62+U62+V63</f>
        <v>0</v>
      </c>
    </row>
    <row r="60" spans="1:38" ht="28.9" customHeight="1">
      <c r="A60" s="271"/>
      <c r="B60" s="250"/>
      <c r="C60" s="228"/>
      <c r="D60" s="228"/>
      <c r="E60" s="228"/>
      <c r="F60" s="228"/>
      <c r="G60" s="228"/>
      <c r="H60" s="228"/>
      <c r="I60" s="228"/>
      <c r="J60" s="259"/>
      <c r="K60" s="250" t="s">
        <v>162</v>
      </c>
      <c r="L60" s="228"/>
      <c r="M60" s="228"/>
      <c r="N60" s="228" t="s">
        <v>163</v>
      </c>
      <c r="O60" s="228"/>
      <c r="P60" s="228"/>
      <c r="Q60" s="228" t="s">
        <v>164</v>
      </c>
      <c r="R60" s="228"/>
      <c r="S60" s="259"/>
      <c r="T60" s="318"/>
      <c r="U60" s="306"/>
      <c r="V60" s="287"/>
      <c r="W60" s="308"/>
    </row>
    <row r="61" spans="1:38" ht="22.15" customHeight="1">
      <c r="A61" s="271"/>
      <c r="B61" s="349"/>
      <c r="C61" s="350"/>
      <c r="D61" s="350"/>
      <c r="E61" s="350"/>
      <c r="F61" s="350"/>
      <c r="G61" s="350"/>
      <c r="H61" s="350"/>
      <c r="I61" s="350"/>
      <c r="J61" s="351"/>
      <c r="K61" s="275"/>
      <c r="L61" s="276"/>
      <c r="M61" s="276"/>
      <c r="N61" s="276"/>
      <c r="O61" s="276"/>
      <c r="P61" s="276"/>
      <c r="Q61" s="362"/>
      <c r="R61" s="362"/>
      <c r="S61" s="363"/>
      <c r="T61" s="318"/>
      <c r="U61" s="306"/>
      <c r="V61" s="287"/>
      <c r="W61" s="308"/>
    </row>
    <row r="62" spans="1:38" ht="22.15" customHeight="1" thickBot="1">
      <c r="A62" s="271"/>
      <c r="B62" s="273">
        <f>IF(B61&lt;0.5,0,IF(B61&lt;1,1,IF(B61&lt;2,2,3)))</f>
        <v>0</v>
      </c>
      <c r="C62" s="236"/>
      <c r="D62" s="236"/>
      <c r="E62" s="236"/>
      <c r="F62" s="236"/>
      <c r="G62" s="236"/>
      <c r="H62" s="236"/>
      <c r="I62" s="236"/>
      <c r="J62" s="237"/>
      <c r="K62" s="279">
        <f>IF(K61&lt;400,0,IF(K61&lt;1000,1,2))</f>
        <v>0</v>
      </c>
      <c r="L62" s="280"/>
      <c r="M62" s="280"/>
      <c r="N62" s="280">
        <f>IF(N61&lt;2,0,IF(N61&lt;4,1,2))</f>
        <v>0</v>
      </c>
      <c r="O62" s="280"/>
      <c r="P62" s="280"/>
      <c r="Q62" s="280">
        <f>IF(Q61&lt;2,0,IF(Q61&lt;4,1,2))</f>
        <v>0</v>
      </c>
      <c r="R62" s="280"/>
      <c r="S62" s="319"/>
      <c r="T62" s="69">
        <v>0</v>
      </c>
      <c r="U62" s="69">
        <v>0</v>
      </c>
      <c r="V62" s="311"/>
      <c r="W62" s="308"/>
    </row>
    <row r="63" spans="1:38" ht="15.75" customHeight="1">
      <c r="A63" s="271"/>
      <c r="B63" s="312" t="s">
        <v>71</v>
      </c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313"/>
      <c r="V63" s="353">
        <f>COUNTIF(X64:Z66,TRUE)</f>
        <v>0</v>
      </c>
      <c r="W63" s="308"/>
    </row>
    <row r="64" spans="1:38" ht="18" customHeight="1">
      <c r="A64" s="271"/>
      <c r="B64" s="82"/>
      <c r="C64" s="224" t="s">
        <v>132</v>
      </c>
      <c r="D64" s="224"/>
      <c r="E64" s="224"/>
      <c r="F64" s="224"/>
      <c r="G64" s="224"/>
      <c r="H64" s="224"/>
      <c r="I64" s="224"/>
      <c r="J64" s="224"/>
      <c r="K64" s="224"/>
      <c r="L64" s="83"/>
      <c r="M64" s="224" t="s">
        <v>258</v>
      </c>
      <c r="N64" s="224"/>
      <c r="O64" s="224"/>
      <c r="P64" s="224"/>
      <c r="Q64" s="224"/>
      <c r="R64" s="224"/>
      <c r="S64" s="224"/>
      <c r="T64" s="224"/>
      <c r="U64" s="224"/>
      <c r="V64" s="354"/>
      <c r="W64" s="308"/>
      <c r="X64" s="40" t="b">
        <v>0</v>
      </c>
      <c r="Y64" s="40" t="b">
        <v>0</v>
      </c>
    </row>
    <row r="65" spans="1:26" ht="18" customHeight="1">
      <c r="A65" s="271"/>
      <c r="B65" s="82"/>
      <c r="C65" s="224" t="s">
        <v>124</v>
      </c>
      <c r="D65" s="224"/>
      <c r="E65" s="224"/>
      <c r="F65" s="224"/>
      <c r="G65" s="224"/>
      <c r="H65" s="224"/>
      <c r="I65" s="224"/>
      <c r="J65" s="224"/>
      <c r="K65" s="224"/>
      <c r="L65" s="49"/>
      <c r="M65" s="224" t="s">
        <v>135</v>
      </c>
      <c r="N65" s="224"/>
      <c r="O65" s="224"/>
      <c r="P65" s="224"/>
      <c r="Q65" s="224"/>
      <c r="R65" s="224"/>
      <c r="S65" s="83"/>
      <c r="T65" s="224" t="s">
        <v>136</v>
      </c>
      <c r="U65" s="224"/>
      <c r="V65" s="354"/>
      <c r="W65" s="308"/>
      <c r="X65" s="40" t="b">
        <v>0</v>
      </c>
      <c r="Y65" s="40" t="b">
        <v>0</v>
      </c>
      <c r="Z65" s="40" t="b">
        <v>0</v>
      </c>
    </row>
    <row r="66" spans="1:26" ht="18" customHeight="1" thickBot="1">
      <c r="A66" s="272"/>
      <c r="B66" s="84"/>
      <c r="C66" s="314" t="s">
        <v>133</v>
      </c>
      <c r="D66" s="314"/>
      <c r="E66" s="314"/>
      <c r="F66" s="314"/>
      <c r="G66" s="314"/>
      <c r="H66" s="314"/>
      <c r="I66" s="314"/>
      <c r="J66" s="314"/>
      <c r="K66" s="314"/>
      <c r="L66" s="85"/>
      <c r="M66" s="314" t="s">
        <v>134</v>
      </c>
      <c r="N66" s="314"/>
      <c r="O66" s="314"/>
      <c r="P66" s="314"/>
      <c r="Q66" s="314"/>
      <c r="R66" s="314"/>
      <c r="S66" s="314"/>
      <c r="T66" s="314"/>
      <c r="U66" s="314"/>
      <c r="V66" s="355"/>
      <c r="W66" s="309"/>
      <c r="X66" s="40" t="b">
        <v>0</v>
      </c>
      <c r="Y66" s="40" t="b">
        <v>0</v>
      </c>
    </row>
  </sheetData>
  <mergeCells count="227">
    <mergeCell ref="B61:J61"/>
    <mergeCell ref="B62:J62"/>
    <mergeCell ref="M65:R65"/>
    <mergeCell ref="K54:Q54"/>
    <mergeCell ref="K55:Q55"/>
    <mergeCell ref="V42:V44"/>
    <mergeCell ref="V52:V55"/>
    <mergeCell ref="V63:V66"/>
    <mergeCell ref="V38:V40"/>
    <mergeCell ref="Q60:S60"/>
    <mergeCell ref="K59:S59"/>
    <mergeCell ref="Q62:S62"/>
    <mergeCell ref="N60:P60"/>
    <mergeCell ref="N61:P61"/>
    <mergeCell ref="N62:P62"/>
    <mergeCell ref="K60:M60"/>
    <mergeCell ref="K61:M61"/>
    <mergeCell ref="K62:M62"/>
    <mergeCell ref="D56:U56"/>
    <mergeCell ref="D57:U57"/>
    <mergeCell ref="M64:U64"/>
    <mergeCell ref="C64:K64"/>
    <mergeCell ref="T65:U65"/>
    <mergeCell ref="Q61:S61"/>
    <mergeCell ref="O39:S39"/>
    <mergeCell ref="O40:S40"/>
    <mergeCell ref="W20:W26"/>
    <mergeCell ref="T11:T13"/>
    <mergeCell ref="U11:U13"/>
    <mergeCell ref="V11:V13"/>
    <mergeCell ref="V24:V26"/>
    <mergeCell ref="V15:V18"/>
    <mergeCell ref="V32:V36"/>
    <mergeCell ref="Q25:U25"/>
    <mergeCell ref="Q26:U26"/>
    <mergeCell ref="W28:W36"/>
    <mergeCell ref="V28:V30"/>
    <mergeCell ref="T20:T22"/>
    <mergeCell ref="T1:U1"/>
    <mergeCell ref="J36:U36"/>
    <mergeCell ref="K53:U53"/>
    <mergeCell ref="Q16:U16"/>
    <mergeCell ref="Q17:U17"/>
    <mergeCell ref="O43:U43"/>
    <mergeCell ref="O44:U44"/>
    <mergeCell ref="D45:U45"/>
    <mergeCell ref="D46:U46"/>
    <mergeCell ref="P29:S29"/>
    <mergeCell ref="J30:K30"/>
    <mergeCell ref="J31:K31"/>
    <mergeCell ref="L30:M30"/>
    <mergeCell ref="L31:M31"/>
    <mergeCell ref="N30:O30"/>
    <mergeCell ref="N31:O31"/>
    <mergeCell ref="P30:S30"/>
    <mergeCell ref="P31:S31"/>
    <mergeCell ref="B28:I28"/>
    <mergeCell ref="D29:F29"/>
    <mergeCell ref="G29:I29"/>
    <mergeCell ref="F13:I13"/>
    <mergeCell ref="B14:E14"/>
    <mergeCell ref="B13:E13"/>
    <mergeCell ref="A1:S1"/>
    <mergeCell ref="A19:A26"/>
    <mergeCell ref="A27:A36"/>
    <mergeCell ref="P33:U33"/>
    <mergeCell ref="P34:U34"/>
    <mergeCell ref="P35:U35"/>
    <mergeCell ref="O49:S49"/>
    <mergeCell ref="O50:S50"/>
    <mergeCell ref="O51:S51"/>
    <mergeCell ref="D31:F31"/>
    <mergeCell ref="G30:I30"/>
    <mergeCell ref="G31:I31"/>
    <mergeCell ref="J29:K29"/>
    <mergeCell ref="L29:M29"/>
    <mergeCell ref="B31:C31"/>
    <mergeCell ref="J33:N33"/>
    <mergeCell ref="J34:N34"/>
    <mergeCell ref="J35:N35"/>
    <mergeCell ref="T28:T30"/>
    <mergeCell ref="U28:U30"/>
    <mergeCell ref="A10:A18"/>
    <mergeCell ref="P18:U18"/>
    <mergeCell ref="B20:I21"/>
    <mergeCell ref="B22:I22"/>
    <mergeCell ref="U48:U50"/>
    <mergeCell ref="C53:I53"/>
    <mergeCell ref="B50:E50"/>
    <mergeCell ref="B51:E51"/>
    <mergeCell ref="F49:I49"/>
    <mergeCell ref="F50:I50"/>
    <mergeCell ref="F51:I51"/>
    <mergeCell ref="G41:I41"/>
    <mergeCell ref="B48:I48"/>
    <mergeCell ref="B49:E49"/>
    <mergeCell ref="C44:M44"/>
    <mergeCell ref="C43:M43"/>
    <mergeCell ref="B23:I23"/>
    <mergeCell ref="O21:S21"/>
    <mergeCell ref="O22:S22"/>
    <mergeCell ref="O23:S23"/>
    <mergeCell ref="U10:V10"/>
    <mergeCell ref="D30:F30"/>
    <mergeCell ref="C66:K66"/>
    <mergeCell ref="S54:U54"/>
    <mergeCell ref="S55:U55"/>
    <mergeCell ref="B52:U52"/>
    <mergeCell ref="C55:I55"/>
    <mergeCell ref="B42:U42"/>
    <mergeCell ref="B38:I38"/>
    <mergeCell ref="D39:F39"/>
    <mergeCell ref="G39:I39"/>
    <mergeCell ref="D40:F40"/>
    <mergeCell ref="D41:F41"/>
    <mergeCell ref="G40:I40"/>
    <mergeCell ref="B59:J60"/>
    <mergeCell ref="T59:T61"/>
    <mergeCell ref="O41:S41"/>
    <mergeCell ref="T38:T40"/>
    <mergeCell ref="U38:U40"/>
    <mergeCell ref="T48:T50"/>
    <mergeCell ref="Y37:Z38"/>
    <mergeCell ref="W11:W18"/>
    <mergeCell ref="O12:S12"/>
    <mergeCell ref="O13:S13"/>
    <mergeCell ref="O14:S14"/>
    <mergeCell ref="B11:I11"/>
    <mergeCell ref="B12:E12"/>
    <mergeCell ref="U59:U61"/>
    <mergeCell ref="W59:W66"/>
    <mergeCell ref="W48:W57"/>
    <mergeCell ref="W38:W46"/>
    <mergeCell ref="V48:V50"/>
    <mergeCell ref="U19:V19"/>
    <mergeCell ref="V20:V22"/>
    <mergeCell ref="B24:U24"/>
    <mergeCell ref="C25:H25"/>
    <mergeCell ref="J25:O25"/>
    <mergeCell ref="C26:H26"/>
    <mergeCell ref="J26:O26"/>
    <mergeCell ref="N29:O29"/>
    <mergeCell ref="V59:V62"/>
    <mergeCell ref="B63:U63"/>
    <mergeCell ref="C65:K65"/>
    <mergeCell ref="M66:U66"/>
    <mergeCell ref="A47:A57"/>
    <mergeCell ref="B45:C45"/>
    <mergeCell ref="B46:C46"/>
    <mergeCell ref="B56:C56"/>
    <mergeCell ref="B57:C57"/>
    <mergeCell ref="C33:H33"/>
    <mergeCell ref="C34:H34"/>
    <mergeCell ref="C35:H35"/>
    <mergeCell ref="C36:H36"/>
    <mergeCell ref="C54:I54"/>
    <mergeCell ref="A58:A66"/>
    <mergeCell ref="J23:N23"/>
    <mergeCell ref="B37:S37"/>
    <mergeCell ref="B47:S47"/>
    <mergeCell ref="B58:S58"/>
    <mergeCell ref="J40:N40"/>
    <mergeCell ref="B27:S27"/>
    <mergeCell ref="J21:N21"/>
    <mergeCell ref="J50:N50"/>
    <mergeCell ref="A37:A46"/>
    <mergeCell ref="J49:N49"/>
    <mergeCell ref="J48:S48"/>
    <mergeCell ref="J51:N51"/>
    <mergeCell ref="J38:S38"/>
    <mergeCell ref="J39:N39"/>
    <mergeCell ref="B41:C41"/>
    <mergeCell ref="B32:U32"/>
    <mergeCell ref="J41:N41"/>
    <mergeCell ref="B39:C39"/>
    <mergeCell ref="B40:C40"/>
    <mergeCell ref="U27:V27"/>
    <mergeCell ref="U37:V37"/>
    <mergeCell ref="U47:V47"/>
    <mergeCell ref="U20:U22"/>
    <mergeCell ref="V1:W1"/>
    <mergeCell ref="A2:W2"/>
    <mergeCell ref="B29:C29"/>
    <mergeCell ref="B30:C30"/>
    <mergeCell ref="J14:N14"/>
    <mergeCell ref="J11:S11"/>
    <mergeCell ref="B15:U15"/>
    <mergeCell ref="J12:N12"/>
    <mergeCell ref="J28:S28"/>
    <mergeCell ref="B10:S10"/>
    <mergeCell ref="A3:A4"/>
    <mergeCell ref="J3:S3"/>
    <mergeCell ref="B9:W9"/>
    <mergeCell ref="J4:S4"/>
    <mergeCell ref="T3:W3"/>
    <mergeCell ref="T4:W4"/>
    <mergeCell ref="C16:H16"/>
    <mergeCell ref="J20:S20"/>
    <mergeCell ref="C18:H18"/>
    <mergeCell ref="C17:H17"/>
    <mergeCell ref="J17:O17"/>
    <mergeCell ref="J18:O18"/>
    <mergeCell ref="J16:O16"/>
    <mergeCell ref="B3:I3"/>
    <mergeCell ref="A5:A8"/>
    <mergeCell ref="B5:G5"/>
    <mergeCell ref="B6:G6"/>
    <mergeCell ref="B8:G8"/>
    <mergeCell ref="B7:G7"/>
    <mergeCell ref="B4:I4"/>
    <mergeCell ref="F12:I12"/>
    <mergeCell ref="J13:N13"/>
    <mergeCell ref="J22:N22"/>
    <mergeCell ref="B19:S19"/>
    <mergeCell ref="F14:I14"/>
    <mergeCell ref="I5:J5"/>
    <mergeCell ref="K5:L5"/>
    <mergeCell ref="I6:J6"/>
    <mergeCell ref="I7:J7"/>
    <mergeCell ref="M6:O6"/>
    <mergeCell ref="Q6:R6"/>
    <mergeCell ref="M7:O7"/>
    <mergeCell ref="Q7:R7"/>
    <mergeCell ref="I8:J8"/>
    <mergeCell ref="M8:O8"/>
    <mergeCell ref="Q8:R8"/>
    <mergeCell ref="M5:S5"/>
  </mergeCells>
  <phoneticPr fontId="4" type="noConversion"/>
  <dataValidations count="1">
    <dataValidation type="whole" allowBlank="1" showInputMessage="1" showErrorMessage="1" sqref="W11:W18" xr:uid="{B28D4B47-CBE5-4FC8-99DA-06B50F2A075C}">
      <formula1>0</formula1>
      <formula2>7</formula2>
    </dataValidation>
  </dataValidations>
  <printOptions horizontalCentered="1"/>
  <pageMargins left="0.39370078740157483" right="0.39370078740157483" top="0.59055118110236227" bottom="0.59055118110236227" header="0.59055118110236227" footer="0.3937007874015748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Check Box 55">
              <controlPr defaultSize="0" autoFill="0" autoLine="0" autoPict="0">
                <anchor moveWithCells="1">
                  <from>
                    <xdr:col>1</xdr:col>
                    <xdr:colOff>190500</xdr:colOff>
                    <xdr:row>45</xdr:row>
                    <xdr:rowOff>9525</xdr:rowOff>
                  </from>
                  <to>
                    <xdr:col>2</xdr:col>
                    <xdr:colOff>190500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5" name="Check Box 90">
              <controlPr defaultSize="0" autoFill="0" autoLine="0" autoPict="0">
                <anchor moveWithCells="1">
                  <from>
                    <xdr:col>1</xdr:col>
                    <xdr:colOff>190500</xdr:colOff>
                    <xdr:row>44</xdr:row>
                    <xdr:rowOff>0</xdr:rowOff>
                  </from>
                  <to>
                    <xdr:col>2</xdr:col>
                    <xdr:colOff>190500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6" name="Check Box 91">
              <controlPr defaultSize="0" autoFill="0" autoLine="0" autoPict="0">
                <anchor moveWithCells="1">
                  <from>
                    <xdr:col>1</xdr:col>
                    <xdr:colOff>200025</xdr:colOff>
                    <xdr:row>56</xdr:row>
                    <xdr:rowOff>38100</xdr:rowOff>
                  </from>
                  <to>
                    <xdr:col>2</xdr:col>
                    <xdr:colOff>200025</xdr:colOff>
                    <xdr:row>56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7" name="Check Box 92">
              <controlPr defaultSize="0" autoFill="0" autoLine="0" autoPict="0">
                <anchor moveWithCells="1">
                  <from>
                    <xdr:col>1</xdr:col>
                    <xdr:colOff>200025</xdr:colOff>
                    <xdr:row>55</xdr:row>
                    <xdr:rowOff>19050</xdr:rowOff>
                  </from>
                  <to>
                    <xdr:col>2</xdr:col>
                    <xdr:colOff>200025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8" name="Check Box 94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19050</xdr:rowOff>
                  </from>
                  <to>
                    <xdr:col>2</xdr:col>
                    <xdr:colOff>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" name="Check Box 95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19050</xdr:rowOff>
                  </from>
                  <to>
                    <xdr:col>2</xdr:col>
                    <xdr:colOff>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0" name="Check Box 96">
              <controlPr defaultSize="0" autoFill="0" autoLine="0" autoPict="0">
                <anchor moveWithCells="1">
                  <from>
                    <xdr:col>8</xdr:col>
                    <xdr:colOff>0</xdr:colOff>
                    <xdr:row>17</xdr:row>
                    <xdr:rowOff>0</xdr:rowOff>
                  </from>
                  <to>
                    <xdr:col>9</xdr:col>
                    <xdr:colOff>19050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1" name="Check Box 97">
              <controlPr defaultSize="0" autoFill="0" autoLine="0" autoPict="0">
                <anchor moveWithCells="1">
                  <from>
                    <xdr:col>8</xdr:col>
                    <xdr:colOff>0</xdr:colOff>
                    <xdr:row>15</xdr:row>
                    <xdr:rowOff>19050</xdr:rowOff>
                  </from>
                  <to>
                    <xdr:col>9</xdr:col>
                    <xdr:colOff>19050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2" name="Check Box 98">
              <controlPr defaultSize="0" autoFill="0" autoLine="0" autoPict="0">
                <anchor moveWithCells="1">
                  <from>
                    <xdr:col>8</xdr:col>
                    <xdr:colOff>0</xdr:colOff>
                    <xdr:row>16</xdr:row>
                    <xdr:rowOff>19050</xdr:rowOff>
                  </from>
                  <to>
                    <xdr:col>9</xdr:col>
                    <xdr:colOff>19050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3" name="Check Box 99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9525</xdr:rowOff>
                  </from>
                  <to>
                    <xdr:col>2</xdr:col>
                    <xdr:colOff>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4" name="Check Box 100">
              <controlPr defaultSize="0" autoFill="0" autoLine="0" autoPict="0">
                <anchor moveWithCells="1">
                  <from>
                    <xdr:col>15</xdr:col>
                    <xdr:colOff>0</xdr:colOff>
                    <xdr:row>15</xdr:row>
                    <xdr:rowOff>19050</xdr:rowOff>
                  </from>
                  <to>
                    <xdr:col>16</xdr:col>
                    <xdr:colOff>9525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5" name="Check Box 101">
              <controlPr defaultSize="0" autoFill="0" autoLine="0" autoPict="0">
                <anchor moveWithCells="1">
                  <from>
                    <xdr:col>15</xdr:col>
                    <xdr:colOff>0</xdr:colOff>
                    <xdr:row>16</xdr:row>
                    <xdr:rowOff>19050</xdr:rowOff>
                  </from>
                  <to>
                    <xdr:col>16</xdr:col>
                    <xdr:colOff>9525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6" name="Check Box 103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19050</xdr:rowOff>
                  </from>
                  <to>
                    <xdr:col>2</xdr:col>
                    <xdr:colOff>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7" name="Check Box 104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19050</xdr:rowOff>
                  </from>
                  <to>
                    <xdr:col>2</xdr:col>
                    <xdr:colOff>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8" name="Check Box 105">
              <controlPr defaultSize="0" autoFill="0" autoLine="0" autoPict="0">
                <anchor moveWithCells="1">
                  <from>
                    <xdr:col>8</xdr:col>
                    <xdr:colOff>0</xdr:colOff>
                    <xdr:row>24</xdr:row>
                    <xdr:rowOff>19050</xdr:rowOff>
                  </from>
                  <to>
                    <xdr:col>9</xdr:col>
                    <xdr:colOff>19050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9" name="Check Box 106">
              <controlPr defaultSize="0" autoFill="0" autoLine="0" autoPict="0">
                <anchor moveWithCells="1">
                  <from>
                    <xdr:col>8</xdr:col>
                    <xdr:colOff>0</xdr:colOff>
                    <xdr:row>25</xdr:row>
                    <xdr:rowOff>19050</xdr:rowOff>
                  </from>
                  <to>
                    <xdr:col>9</xdr:col>
                    <xdr:colOff>19050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20" name="Check Box 107">
              <controlPr defaultSize="0" autoFill="0" autoLine="0" autoPict="0">
                <anchor moveWithCells="1">
                  <from>
                    <xdr:col>15</xdr:col>
                    <xdr:colOff>0</xdr:colOff>
                    <xdr:row>24</xdr:row>
                    <xdr:rowOff>19050</xdr:rowOff>
                  </from>
                  <to>
                    <xdr:col>16</xdr:col>
                    <xdr:colOff>9525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21" name="Check Box 108">
              <controlPr defaultSize="0" autoFill="0" autoLine="0" autoPict="0">
                <anchor moveWithCells="1">
                  <from>
                    <xdr:col>15</xdr:col>
                    <xdr:colOff>0</xdr:colOff>
                    <xdr:row>25</xdr:row>
                    <xdr:rowOff>19050</xdr:rowOff>
                  </from>
                  <to>
                    <xdr:col>16</xdr:col>
                    <xdr:colOff>9525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22" name="Check Box 109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19050</xdr:rowOff>
                  </from>
                  <to>
                    <xdr:col>2</xdr:col>
                    <xdr:colOff>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23" name="Check Box 110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19050</xdr:rowOff>
                  </from>
                  <to>
                    <xdr:col>2</xdr:col>
                    <xdr:colOff>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24" name="Check Box 111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19050</xdr:rowOff>
                  </from>
                  <to>
                    <xdr:col>2</xdr:col>
                    <xdr:colOff>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25" name="Check Box 112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19050</xdr:rowOff>
                  </from>
                  <to>
                    <xdr:col>2</xdr:col>
                    <xdr:colOff>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26" name="Check Box 113">
              <controlPr defaultSize="0" autoFill="0" autoLine="0" autoPict="0">
                <anchor moveWithCells="1">
                  <from>
                    <xdr:col>8</xdr:col>
                    <xdr:colOff>0</xdr:colOff>
                    <xdr:row>32</xdr:row>
                    <xdr:rowOff>19050</xdr:rowOff>
                  </from>
                  <to>
                    <xdr:col>9</xdr:col>
                    <xdr:colOff>19050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27" name="Check Box 114">
              <controlPr defaultSize="0" autoFill="0" autoLine="0" autoPict="0">
                <anchor moveWithCells="1">
                  <from>
                    <xdr:col>8</xdr:col>
                    <xdr:colOff>0</xdr:colOff>
                    <xdr:row>33</xdr:row>
                    <xdr:rowOff>19050</xdr:rowOff>
                  </from>
                  <to>
                    <xdr:col>9</xdr:col>
                    <xdr:colOff>19050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28" name="Check Box 115">
              <controlPr defaultSize="0" autoFill="0" autoLine="0" autoPict="0">
                <anchor moveWithCells="1">
                  <from>
                    <xdr:col>8</xdr:col>
                    <xdr:colOff>0</xdr:colOff>
                    <xdr:row>34</xdr:row>
                    <xdr:rowOff>19050</xdr:rowOff>
                  </from>
                  <to>
                    <xdr:col>9</xdr:col>
                    <xdr:colOff>19050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29" name="Check Box 116">
              <controlPr defaultSize="0" autoFill="0" autoLine="0" autoPict="0">
                <anchor moveWithCells="1">
                  <from>
                    <xdr:col>8</xdr:col>
                    <xdr:colOff>0</xdr:colOff>
                    <xdr:row>35</xdr:row>
                    <xdr:rowOff>19050</xdr:rowOff>
                  </from>
                  <to>
                    <xdr:col>9</xdr:col>
                    <xdr:colOff>19050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30" name="Check Box 117">
              <controlPr defaultSize="0" autoFill="0" autoLine="0" autoPict="0">
                <anchor moveWithCells="1">
                  <from>
                    <xdr:col>14</xdr:col>
                    <xdr:colOff>0</xdr:colOff>
                    <xdr:row>32</xdr:row>
                    <xdr:rowOff>19050</xdr:rowOff>
                  </from>
                  <to>
                    <xdr:col>15</xdr:col>
                    <xdr:colOff>19050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31" name="Check Box 118">
              <controlPr defaultSize="0" autoFill="0" autoLine="0" autoPict="0">
                <anchor moveWithCells="1">
                  <from>
                    <xdr:col>14</xdr:col>
                    <xdr:colOff>0</xdr:colOff>
                    <xdr:row>34</xdr:row>
                    <xdr:rowOff>19050</xdr:rowOff>
                  </from>
                  <to>
                    <xdr:col>15</xdr:col>
                    <xdr:colOff>19050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32" name="Check Box 119">
              <controlPr defaultSize="0" autoFill="0" autoLine="0" autoPict="0">
                <anchor moveWithCells="1">
                  <from>
                    <xdr:col>14</xdr:col>
                    <xdr:colOff>0</xdr:colOff>
                    <xdr:row>33</xdr:row>
                    <xdr:rowOff>19050</xdr:rowOff>
                  </from>
                  <to>
                    <xdr:col>15</xdr:col>
                    <xdr:colOff>19050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33" name="Check Box 127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19050</xdr:rowOff>
                  </from>
                  <to>
                    <xdr:col>2</xdr:col>
                    <xdr:colOff>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34" name="Check Box 128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19050</xdr:rowOff>
                  </from>
                  <to>
                    <xdr:col>2</xdr:col>
                    <xdr:colOff>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35" name="Check Box 129">
              <controlPr defaultSize="0" autoFill="0" autoLine="0" autoPict="0">
                <anchor moveWithCells="1">
                  <from>
                    <xdr:col>13</xdr:col>
                    <xdr:colOff>57150</xdr:colOff>
                    <xdr:row>42</xdr:row>
                    <xdr:rowOff>19050</xdr:rowOff>
                  </from>
                  <to>
                    <xdr:col>14</xdr:col>
                    <xdr:colOff>9525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36" name="Check Box 130">
              <controlPr defaultSize="0" autoFill="0" autoLine="0" autoPict="0">
                <anchor moveWithCells="1">
                  <from>
                    <xdr:col>13</xdr:col>
                    <xdr:colOff>57150</xdr:colOff>
                    <xdr:row>43</xdr:row>
                    <xdr:rowOff>19050</xdr:rowOff>
                  </from>
                  <to>
                    <xdr:col>14</xdr:col>
                    <xdr:colOff>9525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37" name="Check Box 131">
              <controlPr defaultSize="0" autoFill="0" autoLine="0" autoPict="0">
                <anchor moveWithCells="1">
                  <from>
                    <xdr:col>1</xdr:col>
                    <xdr:colOff>0</xdr:colOff>
                    <xdr:row>52</xdr:row>
                    <xdr:rowOff>19050</xdr:rowOff>
                  </from>
                  <to>
                    <xdr:col>2</xdr:col>
                    <xdr:colOff>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38" name="Check Box 132">
              <controlPr defaultSize="0" autoFill="0" autoLine="0" autoPict="0">
                <anchor moveWithCells="1">
                  <from>
                    <xdr:col>1</xdr:col>
                    <xdr:colOff>0</xdr:colOff>
                    <xdr:row>53</xdr:row>
                    <xdr:rowOff>19050</xdr:rowOff>
                  </from>
                  <to>
                    <xdr:col>2</xdr:col>
                    <xdr:colOff>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39" name="Check Box 133">
              <controlPr defaultSize="0" autoFill="0" autoLine="0" autoPict="0">
                <anchor moveWithCells="1">
                  <from>
                    <xdr:col>1</xdr:col>
                    <xdr:colOff>0</xdr:colOff>
                    <xdr:row>54</xdr:row>
                    <xdr:rowOff>19050</xdr:rowOff>
                  </from>
                  <to>
                    <xdr:col>2</xdr:col>
                    <xdr:colOff>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40" name="Check Box 134">
              <controlPr defaultSize="0" autoFill="0" autoLine="0" autoPict="0">
                <anchor moveWithCells="1">
                  <from>
                    <xdr:col>8</xdr:col>
                    <xdr:colOff>180975</xdr:colOff>
                    <xdr:row>52</xdr:row>
                    <xdr:rowOff>19050</xdr:rowOff>
                  </from>
                  <to>
                    <xdr:col>10</xdr:col>
                    <xdr:colOff>9525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41" name="Check Box 135">
              <controlPr defaultSize="0" autoFill="0" autoLine="0" autoPict="0">
                <anchor moveWithCells="1">
                  <from>
                    <xdr:col>8</xdr:col>
                    <xdr:colOff>180975</xdr:colOff>
                    <xdr:row>53</xdr:row>
                    <xdr:rowOff>19050</xdr:rowOff>
                  </from>
                  <to>
                    <xdr:col>10</xdr:col>
                    <xdr:colOff>9525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42" name="Check Box 136">
              <controlPr defaultSize="0" autoFill="0" autoLine="0" autoPict="0">
                <anchor moveWithCells="1">
                  <from>
                    <xdr:col>8</xdr:col>
                    <xdr:colOff>180975</xdr:colOff>
                    <xdr:row>54</xdr:row>
                    <xdr:rowOff>19050</xdr:rowOff>
                  </from>
                  <to>
                    <xdr:col>10</xdr:col>
                    <xdr:colOff>9525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43" name="Check Box 137">
              <controlPr defaultSize="0" autoFill="0" autoLine="0" autoPict="0">
                <anchor moveWithCells="1">
                  <from>
                    <xdr:col>16</xdr:col>
                    <xdr:colOff>180975</xdr:colOff>
                    <xdr:row>53</xdr:row>
                    <xdr:rowOff>19050</xdr:rowOff>
                  </from>
                  <to>
                    <xdr:col>17</xdr:col>
                    <xdr:colOff>171450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44" name="Check Box 138">
              <controlPr defaultSize="0" autoFill="0" autoLine="0" autoPict="0">
                <anchor moveWithCells="1">
                  <from>
                    <xdr:col>16</xdr:col>
                    <xdr:colOff>180975</xdr:colOff>
                    <xdr:row>54</xdr:row>
                    <xdr:rowOff>19050</xdr:rowOff>
                  </from>
                  <to>
                    <xdr:col>17</xdr:col>
                    <xdr:colOff>171450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45" name="Check Box 139">
              <controlPr defaultSize="0" autoFill="0" autoLine="0" autoPict="0">
                <anchor moveWithCells="1">
                  <from>
                    <xdr:col>1</xdr:col>
                    <xdr:colOff>0</xdr:colOff>
                    <xdr:row>63</xdr:row>
                    <xdr:rowOff>19050</xdr:rowOff>
                  </from>
                  <to>
                    <xdr:col>2</xdr:col>
                    <xdr:colOff>0</xdr:colOff>
                    <xdr:row>63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46" name="Check Box 140">
              <controlPr defaultSize="0" autoFill="0" autoLine="0" autoPict="0">
                <anchor moveWithCells="1">
                  <from>
                    <xdr:col>1</xdr:col>
                    <xdr:colOff>0</xdr:colOff>
                    <xdr:row>64</xdr:row>
                    <xdr:rowOff>19050</xdr:rowOff>
                  </from>
                  <to>
                    <xdr:col>2</xdr:col>
                    <xdr:colOff>0</xdr:colOff>
                    <xdr:row>64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47" name="Check Box 141">
              <controlPr defaultSize="0" autoFill="0" autoLine="0" autoPict="0">
                <anchor moveWithCells="1">
                  <from>
                    <xdr:col>1</xdr:col>
                    <xdr:colOff>0</xdr:colOff>
                    <xdr:row>65</xdr:row>
                    <xdr:rowOff>19050</xdr:rowOff>
                  </from>
                  <to>
                    <xdr:col>2</xdr:col>
                    <xdr:colOff>0</xdr:colOff>
                    <xdr:row>65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48" name="Check Box 142">
              <controlPr defaultSize="0" autoFill="0" autoLine="0" autoPict="0">
                <anchor moveWithCells="1">
                  <from>
                    <xdr:col>10</xdr:col>
                    <xdr:colOff>180975</xdr:colOff>
                    <xdr:row>63</xdr:row>
                    <xdr:rowOff>28575</xdr:rowOff>
                  </from>
                  <to>
                    <xdr:col>11</xdr:col>
                    <xdr:colOff>190500</xdr:colOff>
                    <xdr:row>63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49" name="Check Box 143">
              <controlPr defaultSize="0" autoFill="0" autoLine="0" autoPict="0">
                <anchor moveWithCells="1">
                  <from>
                    <xdr:col>10</xdr:col>
                    <xdr:colOff>180975</xdr:colOff>
                    <xdr:row>65</xdr:row>
                    <xdr:rowOff>28575</xdr:rowOff>
                  </from>
                  <to>
                    <xdr:col>11</xdr:col>
                    <xdr:colOff>190500</xdr:colOff>
                    <xdr:row>65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50" name="Check Box 144">
              <controlPr defaultSize="0" autoFill="0" autoLine="0" autoPict="0">
                <anchor moveWithCells="1">
                  <from>
                    <xdr:col>10</xdr:col>
                    <xdr:colOff>180975</xdr:colOff>
                    <xdr:row>64</xdr:row>
                    <xdr:rowOff>19050</xdr:rowOff>
                  </from>
                  <to>
                    <xdr:col>11</xdr:col>
                    <xdr:colOff>190500</xdr:colOff>
                    <xdr:row>64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51" name="Check Box 145">
              <controlPr defaultSize="0" autoFill="0" autoLine="0" autoPict="0">
                <anchor moveWithCells="1">
                  <from>
                    <xdr:col>17</xdr:col>
                    <xdr:colOff>123825</xdr:colOff>
                    <xdr:row>64</xdr:row>
                    <xdr:rowOff>19050</xdr:rowOff>
                  </from>
                  <to>
                    <xdr:col>19</xdr:col>
                    <xdr:colOff>0</xdr:colOff>
                    <xdr:row>64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4AA3-ECF7-4BD7-9A14-007B29932F86}">
  <dimension ref="A1:AD33"/>
  <sheetViews>
    <sheetView zoomScaleNormal="100" workbookViewId="0">
      <selection activeCell="K19" sqref="K19:M19"/>
    </sheetView>
  </sheetViews>
  <sheetFormatPr defaultRowHeight="19.899999999999999" customHeight="1"/>
  <cols>
    <col min="1" max="1" width="9.75" style="33" customWidth="1"/>
    <col min="2" max="13" width="5.75" style="33" customWidth="1"/>
    <col min="14" max="14" width="9.75" style="33" hidden="1" customWidth="1"/>
    <col min="15" max="19" width="9" style="33" hidden="1" customWidth="1"/>
    <col min="20" max="20" width="10.75" style="33" hidden="1" customWidth="1"/>
    <col min="21" max="23" width="9" style="33" hidden="1" customWidth="1"/>
    <col min="24" max="24" width="7.875" style="33" hidden="1" customWidth="1"/>
    <col min="25" max="26" width="8.25" style="33" hidden="1" customWidth="1"/>
    <col min="27" max="28" width="10" style="33" hidden="1" customWidth="1"/>
    <col min="29" max="29" width="8" style="33" hidden="1" customWidth="1"/>
    <col min="30" max="30" width="7.875" style="33" hidden="1" customWidth="1"/>
    <col min="31" max="16384" width="9" style="33"/>
  </cols>
  <sheetData>
    <row r="1" spans="1:30" ht="19.899999999999999" customHeight="1" thickBot="1">
      <c r="A1" s="395"/>
      <c r="B1" s="396"/>
      <c r="C1" s="396"/>
      <c r="D1" s="396"/>
      <c r="E1" s="396"/>
      <c r="F1" s="396"/>
      <c r="G1" s="397"/>
      <c r="H1" s="398" t="s">
        <v>0</v>
      </c>
      <c r="I1" s="399"/>
      <c r="J1" s="399"/>
      <c r="K1" s="400"/>
      <c r="L1" s="401" t="s">
        <v>235</v>
      </c>
      <c r="M1" s="402"/>
    </row>
    <row r="2" spans="1:30" ht="19.899999999999999" customHeight="1">
      <c r="A2" s="403" t="s">
        <v>236</v>
      </c>
      <c r="B2" s="404"/>
      <c r="C2" s="404"/>
      <c r="D2" s="404"/>
      <c r="E2" s="404"/>
      <c r="F2" s="404"/>
      <c r="G2" s="404"/>
      <c r="H2" s="405"/>
      <c r="I2" s="405"/>
      <c r="J2" s="405"/>
      <c r="K2" s="405"/>
      <c r="L2" s="405"/>
      <c r="M2" s="406"/>
    </row>
    <row r="3" spans="1:30" ht="19.899999999999999" customHeight="1">
      <c r="A3" s="407" t="s">
        <v>2</v>
      </c>
      <c r="B3" s="409" t="s">
        <v>3</v>
      </c>
      <c r="C3" s="409"/>
      <c r="D3" s="409"/>
      <c r="E3" s="409" t="s">
        <v>154</v>
      </c>
      <c r="F3" s="409"/>
      <c r="G3" s="409"/>
      <c r="H3" s="409" t="s">
        <v>252</v>
      </c>
      <c r="I3" s="409"/>
      <c r="J3" s="409"/>
      <c r="K3" s="409"/>
      <c r="L3" s="409"/>
      <c r="M3" s="410"/>
    </row>
    <row r="4" spans="1:30" ht="19.899999999999999" customHeight="1" thickBot="1">
      <c r="A4" s="408"/>
      <c r="B4" s="411">
        <f>문서번호1!C8</f>
        <v>44935</v>
      </c>
      <c r="C4" s="390"/>
      <c r="D4" s="412"/>
      <c r="E4" s="389" t="str">
        <f>문서번호1!T8</f>
        <v>CTB</v>
      </c>
      <c r="F4" s="390"/>
      <c r="G4" s="412"/>
      <c r="H4" s="389" t="str">
        <f>문서번호1!B17</f>
        <v>작업1</v>
      </c>
      <c r="I4" s="390"/>
      <c r="J4" s="390"/>
      <c r="K4" s="390"/>
      <c r="L4" s="390"/>
      <c r="M4" s="391"/>
    </row>
    <row r="5" spans="1:30" ht="19.899999999999999" customHeight="1" thickBot="1">
      <c r="A5" s="392"/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4"/>
    </row>
    <row r="6" spans="1:30" ht="19.899999999999999" customHeight="1">
      <c r="A6" s="368" t="s">
        <v>237</v>
      </c>
      <c r="B6" s="98"/>
      <c r="C6" s="386" t="s">
        <v>193</v>
      </c>
      <c r="D6" s="387"/>
      <c r="E6" s="387"/>
      <c r="F6" s="387"/>
      <c r="G6" s="387"/>
      <c r="H6" s="387"/>
      <c r="I6" s="387"/>
      <c r="J6" s="387"/>
      <c r="K6" s="387"/>
      <c r="L6" s="387"/>
      <c r="M6" s="388"/>
      <c r="N6" s="33" t="b">
        <v>0</v>
      </c>
      <c r="P6" s="33" t="s">
        <v>191</v>
      </c>
      <c r="Q6" s="33" t="s">
        <v>192</v>
      </c>
      <c r="R6" s="33" t="s">
        <v>194</v>
      </c>
      <c r="S6" s="33" t="s">
        <v>195</v>
      </c>
      <c r="T6" s="33" t="s">
        <v>196</v>
      </c>
      <c r="U6" s="33" t="s">
        <v>197</v>
      </c>
      <c r="V6" s="33" t="s">
        <v>198</v>
      </c>
      <c r="W6" s="33" t="s">
        <v>199</v>
      </c>
      <c r="X6" s="33" t="s">
        <v>200</v>
      </c>
      <c r="Y6" s="33" t="s">
        <v>201</v>
      </c>
      <c r="AB6" s="33" t="s">
        <v>204</v>
      </c>
      <c r="AC6" s="33" t="s">
        <v>205</v>
      </c>
    </row>
    <row r="7" spans="1:30" ht="19.899999999999999" customHeight="1">
      <c r="A7" s="369"/>
      <c r="B7" s="87"/>
      <c r="C7" s="376" t="s">
        <v>203</v>
      </c>
      <c r="D7" s="374"/>
      <c r="E7" s="374"/>
      <c r="F7" s="374"/>
      <c r="G7" s="374"/>
      <c r="H7" s="374"/>
      <c r="I7" s="374"/>
      <c r="J7" s="374"/>
      <c r="K7" s="374"/>
      <c r="L7" s="374"/>
      <c r="M7" s="377"/>
      <c r="N7" s="33" t="b">
        <v>0</v>
      </c>
      <c r="P7" s="33" cm="1">
        <f t="array" ref="P7">IF(AND(('문서번호2(1)'!D30&lt;=20),('문서번호2(1)'!G30&lt;=20)),1,IF(OR(('문서번호2(1)'!G30&gt;20), AND(('문서번호2(1)'!D30&gt;20),('문서번호2(1)'!D30&lt;=45))),2,IF(AND(('문서번호2(1)'!D30&gt;45),('문서번호2(1)'!D30&lt;=90)),3,IF(('문서번호2(1)'!D30&gt;90),4,ER))))</f>
        <v>1</v>
      </c>
      <c r="Q7" s="33">
        <f>IF(('문서번호2(1)'!J30&gt;30),1,0)</f>
        <v>0</v>
      </c>
      <c r="R7" s="33">
        <f>IF(AND(('문서번호2(1)'!B22&gt;60),('문서번호2(1)'!B22&lt;100)),1,2)</f>
        <v>2</v>
      </c>
      <c r="S7" s="33">
        <f>IF('문서번호2(1)'!J30&gt;30,1,0)</f>
        <v>0</v>
      </c>
      <c r="T7" s="33">
        <f>IF(AND(('문서번호2(1)'!B13=0),('문서번호2(1)'!F13=0)),1,IF(AND(('문서번호2(1)'!B13&lt;15),('문서번호2(1)'!F13&lt;15)),2,3))</f>
        <v>1</v>
      </c>
      <c r="U7" s="33">
        <f>IF(OR(('문서번호2(1)'!J13&gt;5),('문서번호2(1)'!O13&gt;10)),1,0)</f>
        <v>0</v>
      </c>
      <c r="V7" s="33">
        <f>IF('문서번호2(1)'!D40=0,1,IF('문서번호2(1)'!D40&lt;20,2,IF('문서번호2(1)'!D40&lt;60,3,4)))</f>
        <v>1</v>
      </c>
      <c r="W7" s="33">
        <f>IF('문서번호2(1)'!J40&gt;10,1,0)</f>
        <v>0</v>
      </c>
      <c r="X7" s="33">
        <f>IF('문서번호2(1)'!B50=0,1,IF('문서번호2(1)'!B50&lt;20,2,IF('문서번호2(1)'!B50&lt;60,3,4)))</f>
        <v>1</v>
      </c>
      <c r="Y7" s="33">
        <f>IF('문서번호2(1)'!J50&gt;10,1,0)</f>
        <v>0</v>
      </c>
      <c r="AB7" s="33" cm="1">
        <f t="array" ref="AB7">LOOKUP(1,1/((B14=RULA_A!$A$2:$A$145)*(C14=RULA_A!B2:B145)*(D14=RULA_A!C2:C145)*(E14=RULA_A!D2:D145)),RULA_A!E2:E145)</f>
        <v>2</v>
      </c>
      <c r="AC7" s="33" cm="1">
        <f t="array" ref="AC7">LOOKUP(1,1/((H14=RULA_B!A2:A73)*(I14=RULA_B!B2:B73)*(J14=RULA_B!C2:C73)),RULA_B!D2:D73)</f>
        <v>1</v>
      </c>
    </row>
    <row r="8" spans="1:30" ht="19.899999999999999" customHeight="1">
      <c r="A8" s="369"/>
      <c r="B8" s="94"/>
      <c r="C8" s="381" t="s">
        <v>232</v>
      </c>
      <c r="D8" s="382"/>
      <c r="E8" s="382"/>
      <c r="F8" s="382"/>
      <c r="G8" s="382"/>
      <c r="H8" s="382"/>
      <c r="I8" s="382"/>
      <c r="J8" s="382"/>
      <c r="K8" s="382"/>
      <c r="L8" s="382"/>
      <c r="M8" s="383"/>
      <c r="N8" s="33" t="b">
        <v>0</v>
      </c>
      <c r="Q8" s="33">
        <f>IF(('문서번호2(1)'!Y34=TRUE),1,0)</f>
        <v>0</v>
      </c>
      <c r="S8" s="33">
        <f>IF('문서번호2(1)'!L30&gt;30,1,0)</f>
        <v>0</v>
      </c>
      <c r="W8" s="33">
        <f>IF('문서번호2(1)'!O40&gt;10,1,0)</f>
        <v>0</v>
      </c>
      <c r="Y8" s="33">
        <f>IF('문서번호2(1)'!O50&gt;10,1,0)</f>
        <v>0</v>
      </c>
      <c r="AB8" s="33">
        <f>IF(AB7+F14+G14&gt;12,12,AB7+F14+G14)</f>
        <v>2</v>
      </c>
      <c r="AC8" s="33">
        <f>IF(AC7+K14+L14&gt;12,12,AC7+K14+L14)</f>
        <v>1</v>
      </c>
    </row>
    <row r="9" spans="1:30" ht="19.899999999999999" customHeight="1">
      <c r="A9" s="369"/>
      <c r="B9" s="94"/>
      <c r="C9" s="376" t="s">
        <v>220</v>
      </c>
      <c r="D9" s="374"/>
      <c r="E9" s="374"/>
      <c r="F9" s="374"/>
      <c r="G9" s="374"/>
      <c r="H9" s="374"/>
      <c r="I9" s="374"/>
      <c r="J9" s="374"/>
      <c r="K9" s="374"/>
      <c r="L9" s="374"/>
      <c r="M9" s="377"/>
      <c r="N9" s="33" t="b">
        <v>0</v>
      </c>
      <c r="Q9" s="33">
        <f>IF(N6=TRUE,-1,0)</f>
        <v>0</v>
      </c>
    </row>
    <row r="10" spans="1:30" ht="19.899999999999999" customHeight="1">
      <c r="A10" s="369"/>
      <c r="B10" s="94" t="s">
        <v>217</v>
      </c>
      <c r="C10" s="376" t="s">
        <v>249</v>
      </c>
      <c r="D10" s="374"/>
      <c r="E10" s="374"/>
      <c r="F10" s="374"/>
      <c r="G10" s="374"/>
      <c r="H10" s="374"/>
      <c r="I10" s="374"/>
      <c r="J10" s="374"/>
      <c r="K10" s="374"/>
      <c r="L10" s="374"/>
      <c r="M10" s="377"/>
      <c r="N10" s="33" t="s">
        <v>250</v>
      </c>
    </row>
    <row r="11" spans="1:30" ht="20.25" customHeight="1">
      <c r="A11" s="369"/>
      <c r="B11" s="99" t="s">
        <v>212</v>
      </c>
      <c r="C11" s="376" t="s">
        <v>251</v>
      </c>
      <c r="D11" s="374"/>
      <c r="E11" s="374"/>
      <c r="F11" s="374"/>
      <c r="G11" s="374"/>
      <c r="H11" s="374"/>
      <c r="I11" s="374"/>
      <c r="J11" s="374"/>
      <c r="K11" s="374"/>
      <c r="L11" s="374"/>
      <c r="M11" s="377"/>
      <c r="N11" s="33" t="s">
        <v>218</v>
      </c>
      <c r="P11" s="33" t="s">
        <v>215</v>
      </c>
      <c r="Q11" s="33" t="s">
        <v>216</v>
      </c>
      <c r="R11" s="33" t="s">
        <v>198</v>
      </c>
      <c r="S11" s="33" t="s">
        <v>202</v>
      </c>
      <c r="T11" s="33" t="s">
        <v>209</v>
      </c>
      <c r="U11" s="33" t="s">
        <v>221</v>
      </c>
      <c r="V11" s="33" t="s">
        <v>222</v>
      </c>
      <c r="W11" s="33" t="s">
        <v>223</v>
      </c>
      <c r="X11" s="33" t="s">
        <v>224</v>
      </c>
      <c r="Y11" s="33" t="s">
        <v>229</v>
      </c>
      <c r="AA11" s="33" t="s">
        <v>230</v>
      </c>
      <c r="AB11" s="33" t="s">
        <v>231</v>
      </c>
      <c r="AC11" s="33" t="s">
        <v>233</v>
      </c>
      <c r="AD11" s="33" t="s">
        <v>234</v>
      </c>
    </row>
    <row r="12" spans="1:30" ht="20.25" customHeight="1" thickBot="1">
      <c r="A12" s="370"/>
      <c r="B12" s="93" t="s">
        <v>186</v>
      </c>
      <c r="C12" s="92"/>
      <c r="D12" s="88" t="s">
        <v>241</v>
      </c>
      <c r="E12" s="371" t="s">
        <v>245</v>
      </c>
      <c r="F12" s="372"/>
      <c r="G12" s="373"/>
      <c r="H12" s="108" t="s">
        <v>242</v>
      </c>
      <c r="I12" s="108"/>
      <c r="J12" s="89" t="s">
        <v>243</v>
      </c>
      <c r="K12" s="109"/>
      <c r="L12" s="109" t="s">
        <v>244</v>
      </c>
      <c r="M12" s="90"/>
      <c r="N12" s="33" t="s">
        <v>219</v>
      </c>
      <c r="P12" s="33">
        <f>IF('문서번호2(1)'!B50=0,1,IF('문서번호2(1)'!B50&lt;20,2,IF('문서번호2(1)'!B50&lt;60,3,4)))</f>
        <v>1</v>
      </c>
      <c r="Q12" s="33">
        <f>IF('문서번호2(1)'!F50=0,1,IF('문서번호2(1)'!F50&lt;20,2,3))</f>
        <v>1</v>
      </c>
      <c r="R12" s="33">
        <f>IF(OR('문서번호2(1)'!D40&gt;=20,'문서번호2(1)'!G40&gt;=20),2,1)</f>
        <v>1</v>
      </c>
      <c r="S12" s="33">
        <f>IF(C10="0~30도 구부리기",0,IF(C10="30~60도 구부리기",1,2))</f>
        <v>0</v>
      </c>
      <c r="T12" s="33">
        <f>IF(C12&lt;5,0,IF(C12&lt;10,1,2))</f>
        <v>0</v>
      </c>
      <c r="U12" s="33">
        <f>IF(N9=TRUE,1,0)</f>
        <v>0</v>
      </c>
      <c r="V12" s="33">
        <f>IF('문서번호2(1)'!D30&lt;20,1,IF('문서번호2(1)'!D30&lt;45,2,IF('문서번호2(1)'!D30&lt;90,3,4)))</f>
        <v>1</v>
      </c>
      <c r="W12" s="33">
        <f>IF('문서번호2(1)'!G30&lt;20,1,2)</f>
        <v>1</v>
      </c>
      <c r="X12" s="33">
        <f>IF(('문서번호2(1)'!J31+'문서번호2(1)'!L31+'문서번호2(1)'!N31+'문서번호2(1)'!P31)&gt;=1,1,0)+'문서번호3(1)'!Q8+'문서번호3(1)'!Q9</f>
        <v>0</v>
      </c>
      <c r="Y12" s="33">
        <f>IF('문서번호2(1)'!U14+'문서번호2(1)'!U23+'문서번호2(1)'!U31+'문서번호2(1)'!U41+'문서번호2(1)'!U51+'문서번호2(1)'!U62&gt;0,1,0)</f>
        <v>0</v>
      </c>
      <c r="AA12" s="33">
        <f>IF('문서번호2(1)'!V14+'문서번호2(1)'!V23+'문서번호2(1)'!V31+'문서번호2(1)'!V41+'문서번호2(1)'!V51&gt;0,1,0)</f>
        <v>0</v>
      </c>
      <c r="AB12" s="33">
        <f>IF(N8=TRUE,1,0)</f>
        <v>0</v>
      </c>
      <c r="AC12" s="33" cm="1">
        <f t="array" ref="AC12">LOOKUP(1,1/((B17=REBA_A!A2:A61)*(C17=REBA_A!B2:B61)*(D17=REBA_A!C2:C61)),REBA_A!D2:D61)+E17</f>
        <v>1</v>
      </c>
      <c r="AD12" s="33" cm="1">
        <f t="array" ref="AD12">LOOKUP(1,1/((F17=REBA_B!A2:A61)*(G17=REBA_B!B2:B61)*(H17=REBA_B!C2:C61)),REBA_B!D2:D61)+I17</f>
        <v>1</v>
      </c>
    </row>
    <row r="13" spans="1:30" ht="19.899999999999999" customHeight="1" thickBot="1">
      <c r="A13" s="96"/>
      <c r="B13" s="102" t="s">
        <v>181</v>
      </c>
      <c r="C13" s="34" t="s">
        <v>182</v>
      </c>
      <c r="D13" s="34" t="s">
        <v>183</v>
      </c>
      <c r="E13" s="86" t="s">
        <v>184</v>
      </c>
      <c r="F13" s="34" t="s">
        <v>185</v>
      </c>
      <c r="G13" s="34" t="s">
        <v>186</v>
      </c>
      <c r="H13" s="35" t="s">
        <v>151</v>
      </c>
      <c r="I13" s="34" t="s">
        <v>187</v>
      </c>
      <c r="J13" s="35" t="s">
        <v>188</v>
      </c>
      <c r="K13" s="34" t="s">
        <v>185</v>
      </c>
      <c r="L13" s="34" t="s">
        <v>186</v>
      </c>
      <c r="M13" s="36" t="s">
        <v>189</v>
      </c>
      <c r="N13" s="33" t="s">
        <v>225</v>
      </c>
    </row>
    <row r="14" spans="1:30" ht="19.899999999999999" customHeight="1">
      <c r="A14" s="96" t="s">
        <v>238</v>
      </c>
      <c r="B14" s="111">
        <f>IF(P7+Q7+Q8+Q9&gt;6,6,P7+Q7+Q8+Q9)</f>
        <v>1</v>
      </c>
      <c r="C14" s="91">
        <f>IF(R7+S7+S8&gt;3,3,R7+S7+S8)</f>
        <v>2</v>
      </c>
      <c r="D14" s="91">
        <f>IF(T7+U7&gt;4,4,T7+U7)</f>
        <v>1</v>
      </c>
      <c r="E14" s="91">
        <f>IF(MAX('문서번호2(1)'!J22:S22)&lt;=90,1,2)</f>
        <v>1</v>
      </c>
      <c r="F14" s="91">
        <f>IF(('문서번호2(1)'!U14+'문서번호2(1)'!V14+'문서번호2(1)'!U23+'문서번호2(1)'!V23+'문서번호2(1)'!U31+'문서번호2(1)'!V31)&gt;0,1,0)</f>
        <v>0</v>
      </c>
      <c r="G14" s="91">
        <f>IF(C12&lt;2,0,IF((C12&gt;10),3,IF(AND((C12&lt;=10),('문서번호2(1)'!U23+'문서번호2(1)'!V23+'문서번호2(1)'!U31+'문서번호2(1)'!V31&gt;=1)),2,1)))</f>
        <v>0</v>
      </c>
      <c r="H14" s="91">
        <f>IF(V7+W7+W8&gt;6,6,V7+W7+W8)</f>
        <v>1</v>
      </c>
      <c r="I14" s="91">
        <f>IF(X7+Y7+Y8&gt;6,6,X7+Y7+Y8)</f>
        <v>1</v>
      </c>
      <c r="J14" s="91">
        <f>IF(N7=TRUE,2,1)</f>
        <v>1</v>
      </c>
      <c r="K14" s="91">
        <f>IF('문서번호2(1)'!U41+'문서번호2(1)'!V41+'문서번호2(1)'!U51+'문서번호2(1)'!V51+'문서번호2(1)'!U62&gt;0,1,0)</f>
        <v>0</v>
      </c>
      <c r="L14" s="91">
        <f>G14</f>
        <v>0</v>
      </c>
      <c r="M14" s="103">
        <f>INDEX('C+D'!B2:M13,MATCH(AB8,'C+D'!A2:A13,0),MATCH(AC8,'C+D'!B1:M1,0))</f>
        <v>2</v>
      </c>
      <c r="N14" s="33" t="s">
        <v>226</v>
      </c>
    </row>
    <row r="15" spans="1:30" ht="19.899999999999999" customHeight="1" thickBot="1">
      <c r="A15" s="97"/>
      <c r="B15" s="374" t="s">
        <v>190</v>
      </c>
      <c r="C15" s="374"/>
      <c r="D15" s="375"/>
      <c r="E15" s="376">
        <f>IF(M14&lt;3,1,IF(M14&lt;5,2,IF(M14&lt;7,3,4)))</f>
        <v>1</v>
      </c>
      <c r="F15" s="374"/>
      <c r="G15" s="375"/>
      <c r="H15" s="376" t="str">
        <f>IF(E15=1,"안전",IF(E15=2,"보통",IF(E15=3,"위험","고위험")))</f>
        <v>안전</v>
      </c>
      <c r="I15" s="374"/>
      <c r="J15" s="374"/>
      <c r="K15" s="374"/>
      <c r="L15" s="374"/>
      <c r="M15" s="377"/>
      <c r="N15" s="33" t="s">
        <v>227</v>
      </c>
    </row>
    <row r="16" spans="1:30" ht="19.899999999999999" customHeight="1" thickBot="1">
      <c r="A16" s="95"/>
      <c r="B16" s="104" t="s">
        <v>208</v>
      </c>
      <c r="C16" s="105" t="s">
        <v>151</v>
      </c>
      <c r="D16" s="105" t="s">
        <v>188</v>
      </c>
      <c r="E16" s="105" t="s">
        <v>209</v>
      </c>
      <c r="F16" s="105" t="s">
        <v>210</v>
      </c>
      <c r="G16" s="106" t="s">
        <v>211</v>
      </c>
      <c r="H16" s="105" t="s">
        <v>183</v>
      </c>
      <c r="I16" s="106" t="s">
        <v>212</v>
      </c>
      <c r="J16" s="378" t="s">
        <v>213</v>
      </c>
      <c r="K16" s="379"/>
      <c r="L16" s="378" t="s">
        <v>189</v>
      </c>
      <c r="M16" s="380"/>
      <c r="N16" s="33" t="s">
        <v>228</v>
      </c>
    </row>
    <row r="17" spans="1:13" ht="19.899999999999999" customHeight="1">
      <c r="A17" s="96" t="s">
        <v>239</v>
      </c>
      <c r="B17" s="111">
        <f>MAX(P12:Q12)+MAX(Y7:Y8)</f>
        <v>1</v>
      </c>
      <c r="C17" s="91">
        <f>R12+MAX(W7:W8)</f>
        <v>1</v>
      </c>
      <c r="D17" s="91">
        <f>J14+S12</f>
        <v>1</v>
      </c>
      <c r="E17" s="91">
        <f>T12+U12</f>
        <v>0</v>
      </c>
      <c r="F17" s="91">
        <f>MAX(V12:W12)+X12</f>
        <v>1</v>
      </c>
      <c r="G17" s="91">
        <f>R7</f>
        <v>2</v>
      </c>
      <c r="H17" s="91">
        <f>IF(OR('문서번호2(1)'!B13&gt;=15,'문서번호2(1)'!F13&gt;=15),2,1)+U7</f>
        <v>1</v>
      </c>
      <c r="I17" s="91">
        <f>IF(C11=N13,0,IF(C11=N14,1,IF(C11=N15,2,3)))</f>
        <v>0</v>
      </c>
      <c r="J17" s="384">
        <f>Y12+AA12+AB12</f>
        <v>0</v>
      </c>
      <c r="K17" s="384"/>
      <c r="L17" s="384">
        <f>INDEX('A+B'!B2:M13,MATCH(AC12,'A+B'!A2:A13,0),MATCH(AD12,'A+B'!B1:M1,0))+J17</f>
        <v>1</v>
      </c>
      <c r="M17" s="385"/>
    </row>
    <row r="18" spans="1:13" ht="19.899999999999999" customHeight="1" thickBot="1">
      <c r="A18" s="97"/>
      <c r="B18" s="374" t="s">
        <v>214</v>
      </c>
      <c r="C18" s="374"/>
      <c r="D18" s="375"/>
      <c r="E18" s="376">
        <f>IF(L17&lt;2,0,IF(L17&lt;4,1,IF(L17&lt;8,2,IF(L17&lt;11,3,4))))</f>
        <v>0</v>
      </c>
      <c r="F18" s="374"/>
      <c r="G18" s="375"/>
      <c r="H18" s="376" t="str">
        <f>IF(OR(E18=1,E18=0),"안전",IF(E18=2,"보통",IF(E18=3,"위험","고위험")))</f>
        <v>안전</v>
      </c>
      <c r="I18" s="374"/>
      <c r="J18" s="374"/>
      <c r="K18" s="374"/>
      <c r="L18" s="374"/>
      <c r="M18" s="377"/>
    </row>
    <row r="19" spans="1:13" ht="19.899999999999999" customHeight="1" thickBot="1">
      <c r="A19" s="101" t="s">
        <v>240</v>
      </c>
      <c r="B19" s="100" t="s">
        <v>242</v>
      </c>
      <c r="C19" s="364" t="str">
        <f>IF(I12=0,"없음",IF(I12&lt;9,"안전",IF(I12&lt;14.5,"보통",IF(I12&lt;23,"위험","고위험"))))</f>
        <v>없음</v>
      </c>
      <c r="D19" s="365"/>
      <c r="E19" s="366"/>
      <c r="F19" s="110" t="s">
        <v>243</v>
      </c>
      <c r="G19" s="364" t="str">
        <f>IF(K12=0,"없음",IF(K12&lt;5,"안전","위험"))</f>
        <v>없음</v>
      </c>
      <c r="H19" s="365"/>
      <c r="I19" s="366"/>
      <c r="J19" s="112" t="s">
        <v>244</v>
      </c>
      <c r="K19" s="364" t="str">
        <f>IF(M12=0,"없음",IF(M12&lt;1,"안전","위험"))</f>
        <v>없음</v>
      </c>
      <c r="L19" s="365"/>
      <c r="M19" s="367"/>
    </row>
    <row r="20" spans="1:13" ht="21.75" customHeight="1"/>
    <row r="21" spans="1:13" ht="21.75" customHeight="1"/>
    <row r="22" spans="1:13" ht="21.75" customHeight="1"/>
    <row r="23" spans="1:13" ht="21.75" customHeight="1"/>
    <row r="24" spans="1:13" ht="21.75" customHeight="1"/>
    <row r="25" spans="1:13" ht="21.75" customHeight="1"/>
    <row r="33" spans="20:20" ht="19.899999999999999" customHeight="1">
      <c r="T33" s="33" t="b">
        <v>1</v>
      </c>
    </row>
  </sheetData>
  <mergeCells count="33">
    <mergeCell ref="H4:M4"/>
    <mergeCell ref="A5:M5"/>
    <mergeCell ref="A1:G1"/>
    <mergeCell ref="H1:K1"/>
    <mergeCell ref="L1:M1"/>
    <mergeCell ref="A2:M2"/>
    <mergeCell ref="A3:A4"/>
    <mergeCell ref="B3:D3"/>
    <mergeCell ref="E3:G3"/>
    <mergeCell ref="H3:M3"/>
    <mergeCell ref="B4:D4"/>
    <mergeCell ref="E4:G4"/>
    <mergeCell ref="B15:D15"/>
    <mergeCell ref="E15:G15"/>
    <mergeCell ref="H15:M15"/>
    <mergeCell ref="C6:M6"/>
    <mergeCell ref="C7:M7"/>
    <mergeCell ref="C19:E19"/>
    <mergeCell ref="G19:I19"/>
    <mergeCell ref="K19:M19"/>
    <mergeCell ref="A6:A12"/>
    <mergeCell ref="E12:G12"/>
    <mergeCell ref="B18:D18"/>
    <mergeCell ref="E18:G18"/>
    <mergeCell ref="H18:M18"/>
    <mergeCell ref="J16:K16"/>
    <mergeCell ref="L16:M16"/>
    <mergeCell ref="C10:M10"/>
    <mergeCell ref="C9:M9"/>
    <mergeCell ref="C11:M11"/>
    <mergeCell ref="C8:M8"/>
    <mergeCell ref="J17:K17"/>
    <mergeCell ref="L17:M17"/>
  </mergeCells>
  <phoneticPr fontId="4" type="noConversion"/>
  <dataValidations disablePrompts="1" count="2">
    <dataValidation type="list" allowBlank="1" showInputMessage="1" showErrorMessage="1" sqref="C10:M10" xr:uid="{28F2A0BA-B9E7-45C6-8CE9-1DC6408F30B3}">
      <formula1>$N$10:$N$12</formula1>
    </dataValidation>
    <dataValidation type="list" allowBlank="1" showInputMessage="1" showErrorMessage="1" sqref="C11:M11" xr:uid="{696DBEBF-BA28-4B84-A87D-25267E2B6CE2}">
      <formula1>$N$13:$N$16</formula1>
    </dataValidation>
  </dataValidations>
  <printOptions horizontalCentered="1"/>
  <pageMargins left="0.59055118110236227" right="0.59055118110236227" top="0.59055118110236227" bottom="0.59055118110236227" header="0.59055118110236227" footer="0.3937007874015748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38100</xdr:rowOff>
                  </from>
                  <to>
                    <xdr:col>1</xdr:col>
                    <xdr:colOff>323850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38100</xdr:rowOff>
                  </from>
                  <to>
                    <xdr:col>1</xdr:col>
                    <xdr:colOff>323850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6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38100</xdr:rowOff>
                  </from>
                  <to>
                    <xdr:col>1</xdr:col>
                    <xdr:colOff>323850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7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38100</xdr:rowOff>
                  </from>
                  <to>
                    <xdr:col>1</xdr:col>
                    <xdr:colOff>323850</xdr:colOff>
                    <xdr:row>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F8B8-753A-4DD5-AE63-1536160D5CF3}">
  <dimension ref="A1:AL66"/>
  <sheetViews>
    <sheetView topLeftCell="A45" zoomScaleNormal="100" workbookViewId="0">
      <selection activeCell="V63" sqref="V63:V66"/>
    </sheetView>
  </sheetViews>
  <sheetFormatPr defaultColWidth="6" defaultRowHeight="22.15" customHeight="1"/>
  <cols>
    <col min="1" max="1" width="6.875" style="41" customWidth="1"/>
    <col min="2" max="3" width="2.75" style="41" customWidth="1"/>
    <col min="4" max="9" width="2.5" style="41" customWidth="1"/>
    <col min="10" max="13" width="2.625" style="41" customWidth="1"/>
    <col min="14" max="14" width="3.5" style="41" customWidth="1"/>
    <col min="15" max="17" width="2.625" style="41" customWidth="1"/>
    <col min="18" max="18" width="2.25" style="41" customWidth="1"/>
    <col min="19" max="19" width="2.125" style="41" customWidth="1"/>
    <col min="20" max="20" width="7.75" style="41" customWidth="1"/>
    <col min="21" max="22" width="7.25" style="41" customWidth="1"/>
    <col min="23" max="23" width="7.375" style="41" customWidth="1"/>
    <col min="24" max="26" width="7" style="40" hidden="1" customWidth="1"/>
    <col min="27" max="16384" width="6" style="41"/>
  </cols>
  <sheetData>
    <row r="1" spans="1:26" ht="19.899999999999999" customHeight="1" thickBot="1">
      <c r="A1" s="323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262" t="s">
        <v>95</v>
      </c>
      <c r="U1" s="263"/>
      <c r="V1" s="245" t="s">
        <v>156</v>
      </c>
      <c r="W1" s="246"/>
    </row>
    <row r="2" spans="1:26" ht="22.15" customHeight="1" thickBot="1">
      <c r="A2" s="247" t="s">
        <v>171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9"/>
    </row>
    <row r="3" spans="1:26" ht="22.15" customHeight="1">
      <c r="A3" s="220" t="s">
        <v>89</v>
      </c>
      <c r="B3" s="269" t="s">
        <v>4</v>
      </c>
      <c r="C3" s="261"/>
      <c r="D3" s="261"/>
      <c r="E3" s="261"/>
      <c r="F3" s="261"/>
      <c r="G3" s="261"/>
      <c r="H3" s="261"/>
      <c r="I3" s="261"/>
      <c r="J3" s="261" t="s">
        <v>5</v>
      </c>
      <c r="K3" s="261"/>
      <c r="L3" s="261"/>
      <c r="M3" s="261"/>
      <c r="N3" s="261"/>
      <c r="O3" s="261"/>
      <c r="P3" s="261"/>
      <c r="Q3" s="261"/>
      <c r="R3" s="261"/>
      <c r="S3" s="261"/>
      <c r="T3" s="261" t="s">
        <v>9</v>
      </c>
      <c r="U3" s="261"/>
      <c r="V3" s="261"/>
      <c r="W3" s="265"/>
    </row>
    <row r="4" spans="1:26" ht="22.15" customHeight="1" thickBot="1">
      <c r="A4" s="222"/>
      <c r="B4" s="226" t="str">
        <f>문서번호1!K8</f>
        <v>생산1팀</v>
      </c>
      <c r="C4" s="227"/>
      <c r="D4" s="227"/>
      <c r="E4" s="227"/>
      <c r="F4" s="227"/>
      <c r="G4" s="227"/>
      <c r="H4" s="227"/>
      <c r="I4" s="227"/>
      <c r="J4" s="227" t="str">
        <f>문서번호1!T8</f>
        <v>CTB</v>
      </c>
      <c r="K4" s="227"/>
      <c r="L4" s="227"/>
      <c r="M4" s="227"/>
      <c r="N4" s="227"/>
      <c r="O4" s="227"/>
      <c r="P4" s="227"/>
      <c r="Q4" s="227"/>
      <c r="R4" s="227"/>
      <c r="S4" s="227"/>
      <c r="T4" s="227" t="str">
        <f>문서번호1!B18</f>
        <v>작업2</v>
      </c>
      <c r="U4" s="227"/>
      <c r="V4" s="227"/>
      <c r="W4" s="266"/>
    </row>
    <row r="5" spans="1:26" ht="16.5" customHeight="1">
      <c r="A5" s="220" t="s">
        <v>166</v>
      </c>
      <c r="B5" s="223" t="s">
        <v>178</v>
      </c>
      <c r="C5" s="223"/>
      <c r="D5" s="223"/>
      <c r="E5" s="223"/>
      <c r="F5" s="223"/>
      <c r="G5" s="223"/>
      <c r="H5" s="42" t="s">
        <v>64</v>
      </c>
      <c r="I5" s="238"/>
      <c r="J5" s="238"/>
      <c r="K5" s="239" t="s">
        <v>98</v>
      </c>
      <c r="L5" s="239"/>
      <c r="M5" s="244"/>
      <c r="N5" s="244"/>
      <c r="O5" s="244"/>
      <c r="P5" s="244"/>
      <c r="Q5" s="244"/>
      <c r="R5" s="244"/>
      <c r="S5" s="244"/>
      <c r="T5" s="44"/>
      <c r="U5" s="44"/>
      <c r="V5" s="43"/>
      <c r="W5" s="45"/>
    </row>
    <row r="6" spans="1:26" ht="16.5" customHeight="1">
      <c r="A6" s="221"/>
      <c r="B6" s="224" t="s">
        <v>177</v>
      </c>
      <c r="C6" s="224"/>
      <c r="D6" s="224"/>
      <c r="E6" s="224"/>
      <c r="F6" s="224"/>
      <c r="G6" s="224"/>
      <c r="H6" s="47" t="s">
        <v>64</v>
      </c>
      <c r="I6" s="240"/>
      <c r="J6" s="240"/>
      <c r="K6" s="46" t="s">
        <v>98</v>
      </c>
      <c r="L6" s="48" t="s">
        <v>157</v>
      </c>
      <c r="M6" s="241" t="s">
        <v>167</v>
      </c>
      <c r="N6" s="241"/>
      <c r="O6" s="241"/>
      <c r="P6" s="49" t="s">
        <v>64</v>
      </c>
      <c r="Q6" s="240"/>
      <c r="R6" s="240"/>
      <c r="S6" s="49" t="s">
        <v>99</v>
      </c>
      <c r="T6" s="46" t="s">
        <v>168</v>
      </c>
      <c r="U6" s="49"/>
      <c r="V6" s="48"/>
      <c r="W6" s="50"/>
    </row>
    <row r="7" spans="1:26" ht="16.5" customHeight="1">
      <c r="A7" s="221"/>
      <c r="B7" s="224" t="s">
        <v>176</v>
      </c>
      <c r="C7" s="224"/>
      <c r="D7" s="224"/>
      <c r="E7" s="224"/>
      <c r="F7" s="224"/>
      <c r="G7" s="224"/>
      <c r="H7" s="47" t="s">
        <v>64</v>
      </c>
      <c r="I7" s="240"/>
      <c r="J7" s="240"/>
      <c r="K7" s="48" t="s">
        <v>180</v>
      </c>
      <c r="L7" s="48" t="s">
        <v>157</v>
      </c>
      <c r="M7" s="241" t="s">
        <v>167</v>
      </c>
      <c r="N7" s="241"/>
      <c r="O7" s="241"/>
      <c r="P7" s="49" t="s">
        <v>64</v>
      </c>
      <c r="Q7" s="240"/>
      <c r="R7" s="240"/>
      <c r="S7" s="49" t="s">
        <v>99</v>
      </c>
      <c r="T7" s="46" t="s">
        <v>168</v>
      </c>
      <c r="U7" s="48"/>
      <c r="V7" s="48"/>
      <c r="W7" s="50"/>
    </row>
    <row r="8" spans="1:26" ht="16.5" customHeight="1" thickBot="1">
      <c r="A8" s="222"/>
      <c r="B8" s="225" t="s">
        <v>175</v>
      </c>
      <c r="C8" s="225"/>
      <c r="D8" s="225"/>
      <c r="E8" s="225"/>
      <c r="F8" s="225"/>
      <c r="G8" s="225"/>
      <c r="H8" s="52" t="s">
        <v>64</v>
      </c>
      <c r="I8" s="242"/>
      <c r="J8" s="242"/>
      <c r="K8" s="51" t="s">
        <v>99</v>
      </c>
      <c r="L8" s="53"/>
      <c r="M8" s="242" t="s">
        <v>169</v>
      </c>
      <c r="N8" s="242"/>
      <c r="O8" s="242"/>
      <c r="P8" s="54" t="s">
        <v>64</v>
      </c>
      <c r="Q8" s="243"/>
      <c r="R8" s="243"/>
      <c r="S8" s="54" t="s">
        <v>99</v>
      </c>
      <c r="T8" s="56" t="s">
        <v>170</v>
      </c>
      <c r="U8" s="54"/>
      <c r="V8" s="55"/>
      <c r="W8" s="57"/>
    </row>
    <row r="9" spans="1:26" ht="31.9" customHeight="1" thickBot="1">
      <c r="A9" s="58" t="s">
        <v>90</v>
      </c>
      <c r="B9" s="262" t="s">
        <v>47</v>
      </c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4"/>
    </row>
    <row r="10" spans="1:26" ht="22.15" customHeight="1" thickBot="1">
      <c r="A10" s="270" t="s">
        <v>46</v>
      </c>
      <c r="B10" s="260" t="s">
        <v>19</v>
      </c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5"/>
      <c r="T10" s="59" t="s">
        <v>20</v>
      </c>
      <c r="U10" s="281" t="s">
        <v>21</v>
      </c>
      <c r="V10" s="282"/>
      <c r="W10" s="60" t="s">
        <v>22</v>
      </c>
    </row>
    <row r="11" spans="1:26" ht="22.15" customHeight="1">
      <c r="A11" s="271"/>
      <c r="B11" s="250" t="s">
        <v>23</v>
      </c>
      <c r="C11" s="228"/>
      <c r="D11" s="228"/>
      <c r="E11" s="228"/>
      <c r="F11" s="228"/>
      <c r="G11" s="228"/>
      <c r="H11" s="228"/>
      <c r="I11" s="229"/>
      <c r="J11" s="255" t="s">
        <v>24</v>
      </c>
      <c r="K11" s="228"/>
      <c r="L11" s="228"/>
      <c r="M11" s="228"/>
      <c r="N11" s="228"/>
      <c r="O11" s="228"/>
      <c r="P11" s="228"/>
      <c r="Q11" s="228"/>
      <c r="R11" s="228"/>
      <c r="S11" s="229"/>
      <c r="T11" s="341" t="s">
        <v>44</v>
      </c>
      <c r="U11" s="343" t="s">
        <v>25</v>
      </c>
      <c r="V11" s="343" t="s">
        <v>92</v>
      </c>
      <c r="W11" s="300">
        <f>IF(X11&lt;8,X11,7)</f>
        <v>1</v>
      </c>
      <c r="X11" s="40">
        <f>MAX(B14,F14)+IF((J14+O14)&gt;=2,2,J14+O14)+T14+MAX(U14,V14)+V15</f>
        <v>1</v>
      </c>
    </row>
    <row r="12" spans="1:26" ht="22.15" customHeight="1">
      <c r="A12" s="271"/>
      <c r="B12" s="250" t="s">
        <v>45</v>
      </c>
      <c r="C12" s="228"/>
      <c r="D12" s="228"/>
      <c r="E12" s="228"/>
      <c r="F12" s="228" t="s">
        <v>108</v>
      </c>
      <c r="G12" s="228"/>
      <c r="H12" s="228"/>
      <c r="I12" s="229"/>
      <c r="J12" s="255" t="s">
        <v>26</v>
      </c>
      <c r="K12" s="228"/>
      <c r="L12" s="228"/>
      <c r="M12" s="228"/>
      <c r="N12" s="228"/>
      <c r="O12" s="228" t="s">
        <v>43</v>
      </c>
      <c r="P12" s="228"/>
      <c r="Q12" s="228"/>
      <c r="R12" s="228"/>
      <c r="S12" s="259"/>
      <c r="T12" s="342"/>
      <c r="U12" s="306"/>
      <c r="V12" s="306"/>
      <c r="W12" s="301"/>
    </row>
    <row r="13" spans="1:26" ht="22.15" customHeight="1">
      <c r="A13" s="271"/>
      <c r="B13" s="232"/>
      <c r="C13" s="230"/>
      <c r="D13" s="230"/>
      <c r="E13" s="231"/>
      <c r="F13" s="303"/>
      <c r="G13" s="230"/>
      <c r="H13" s="230"/>
      <c r="I13" s="304"/>
      <c r="J13" s="230"/>
      <c r="K13" s="230"/>
      <c r="L13" s="230"/>
      <c r="M13" s="230"/>
      <c r="N13" s="231"/>
      <c r="O13" s="303"/>
      <c r="P13" s="230"/>
      <c r="Q13" s="230"/>
      <c r="R13" s="230"/>
      <c r="S13" s="304"/>
      <c r="T13" s="342"/>
      <c r="U13" s="306"/>
      <c r="V13" s="306"/>
      <c r="W13" s="301"/>
    </row>
    <row r="14" spans="1:26" ht="22.15" customHeight="1" thickBot="1">
      <c r="A14" s="271"/>
      <c r="B14" s="273">
        <f>IF(B13&lt;15,1,IF(B13&lt;45,2,3))</f>
        <v>1</v>
      </c>
      <c r="C14" s="236"/>
      <c r="D14" s="236"/>
      <c r="E14" s="274"/>
      <c r="F14" s="236">
        <f>IF(F13&lt;15,1,IF(F13&lt;45,2,3))</f>
        <v>1</v>
      </c>
      <c r="G14" s="236"/>
      <c r="H14" s="236"/>
      <c r="I14" s="237"/>
      <c r="J14" s="253">
        <f>IF(J13&lt;15,0,IF(J13&lt;30,1,2))</f>
        <v>0</v>
      </c>
      <c r="K14" s="253"/>
      <c r="L14" s="253"/>
      <c r="M14" s="253"/>
      <c r="N14" s="254"/>
      <c r="O14" s="253">
        <f>IF(O13&lt;15,0,IF(O13&lt;30,1,2))</f>
        <v>0</v>
      </c>
      <c r="P14" s="253"/>
      <c r="Q14" s="253"/>
      <c r="R14" s="253"/>
      <c r="S14" s="254"/>
      <c r="T14" s="61">
        <v>0</v>
      </c>
      <c r="U14" s="62">
        <v>0</v>
      </c>
      <c r="V14" s="62">
        <v>0</v>
      </c>
      <c r="W14" s="301"/>
    </row>
    <row r="15" spans="1:26" ht="16.5" customHeight="1">
      <c r="A15" s="271"/>
      <c r="B15" s="256" t="s">
        <v>71</v>
      </c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8"/>
      <c r="V15" s="346">
        <f>COUNTIF(X16:Z18,TRUE)</f>
        <v>0</v>
      </c>
      <c r="W15" s="301"/>
    </row>
    <row r="16" spans="1:26" s="65" customFormat="1" ht="18" customHeight="1">
      <c r="A16" s="271"/>
      <c r="B16" s="63"/>
      <c r="C16" s="267" t="s">
        <v>100</v>
      </c>
      <c r="D16" s="267"/>
      <c r="E16" s="267"/>
      <c r="F16" s="267"/>
      <c r="G16" s="267"/>
      <c r="H16" s="267"/>
      <c r="I16" s="63"/>
      <c r="J16" s="267" t="s">
        <v>104</v>
      </c>
      <c r="K16" s="267"/>
      <c r="L16" s="267"/>
      <c r="M16" s="267"/>
      <c r="N16" s="267"/>
      <c r="O16" s="267"/>
      <c r="P16" s="63"/>
      <c r="Q16" s="267" t="s">
        <v>105</v>
      </c>
      <c r="R16" s="267"/>
      <c r="S16" s="267"/>
      <c r="T16" s="267"/>
      <c r="U16" s="267"/>
      <c r="V16" s="347"/>
      <c r="W16" s="301"/>
      <c r="X16" s="64" t="b">
        <v>0</v>
      </c>
      <c r="Y16" s="64" t="b">
        <v>0</v>
      </c>
      <c r="Z16" s="64" t="b">
        <v>0</v>
      </c>
    </row>
    <row r="17" spans="1:26" s="65" customFormat="1" ht="18" customHeight="1">
      <c r="A17" s="271"/>
      <c r="B17" s="63"/>
      <c r="C17" s="267" t="s">
        <v>101</v>
      </c>
      <c r="D17" s="267"/>
      <c r="E17" s="267"/>
      <c r="F17" s="267"/>
      <c r="G17" s="267"/>
      <c r="H17" s="267"/>
      <c r="I17" s="63"/>
      <c r="J17" s="267" t="s">
        <v>102</v>
      </c>
      <c r="K17" s="267"/>
      <c r="L17" s="267"/>
      <c r="M17" s="267"/>
      <c r="N17" s="267"/>
      <c r="O17" s="267"/>
      <c r="P17" s="63"/>
      <c r="Q17" s="267" t="s">
        <v>106</v>
      </c>
      <c r="R17" s="267"/>
      <c r="S17" s="267"/>
      <c r="T17" s="267"/>
      <c r="U17" s="267"/>
      <c r="V17" s="347"/>
      <c r="W17" s="301"/>
      <c r="X17" s="64" t="b">
        <v>0</v>
      </c>
      <c r="Y17" s="64" t="b">
        <v>0</v>
      </c>
      <c r="Z17" s="64" t="b">
        <v>0</v>
      </c>
    </row>
    <row r="18" spans="1:26" s="65" customFormat="1" ht="18" customHeight="1" thickBot="1">
      <c r="A18" s="272"/>
      <c r="B18" s="66"/>
      <c r="C18" s="268" t="s">
        <v>107</v>
      </c>
      <c r="D18" s="268"/>
      <c r="E18" s="268"/>
      <c r="F18" s="268"/>
      <c r="G18" s="268"/>
      <c r="H18" s="268"/>
      <c r="I18" s="66"/>
      <c r="J18" s="268" t="s">
        <v>103</v>
      </c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315"/>
      <c r="W18" s="302"/>
      <c r="X18" s="64" t="b">
        <v>0</v>
      </c>
      <c r="Y18" s="64" t="b">
        <v>0</v>
      </c>
      <c r="Z18" s="64"/>
    </row>
    <row r="19" spans="1:26" ht="22.15" customHeight="1" thickBot="1">
      <c r="A19" s="324" t="s">
        <v>49</v>
      </c>
      <c r="B19" s="233" t="s">
        <v>19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5"/>
      <c r="T19" s="67" t="s">
        <v>20</v>
      </c>
      <c r="U19" s="281" t="s">
        <v>21</v>
      </c>
      <c r="V19" s="283"/>
      <c r="W19" s="59" t="s">
        <v>22</v>
      </c>
    </row>
    <row r="20" spans="1:26" ht="22.15" customHeight="1">
      <c r="A20" s="325"/>
      <c r="B20" s="250" t="s">
        <v>27</v>
      </c>
      <c r="C20" s="228"/>
      <c r="D20" s="228"/>
      <c r="E20" s="228"/>
      <c r="F20" s="228"/>
      <c r="G20" s="228"/>
      <c r="H20" s="228"/>
      <c r="I20" s="259"/>
      <c r="J20" s="250" t="s">
        <v>28</v>
      </c>
      <c r="K20" s="228"/>
      <c r="L20" s="228"/>
      <c r="M20" s="228"/>
      <c r="N20" s="228"/>
      <c r="O20" s="228"/>
      <c r="P20" s="228"/>
      <c r="Q20" s="228"/>
      <c r="R20" s="228"/>
      <c r="S20" s="259"/>
      <c r="T20" s="310" t="s">
        <v>72</v>
      </c>
      <c r="U20" s="286" t="s">
        <v>25</v>
      </c>
      <c r="V20" s="305" t="s">
        <v>92</v>
      </c>
      <c r="W20" s="340">
        <f>IF(X20&lt;8,X20,7)</f>
        <v>3</v>
      </c>
      <c r="X20" s="40">
        <f>B23+IF((J23+O23)&gt;=2,2,J23+O23)+T23+MAX(U23,V23)+V24</f>
        <v>3</v>
      </c>
    </row>
    <row r="21" spans="1:26" ht="22.15" customHeight="1">
      <c r="A21" s="325"/>
      <c r="B21" s="250"/>
      <c r="C21" s="228"/>
      <c r="D21" s="228"/>
      <c r="E21" s="228"/>
      <c r="F21" s="228"/>
      <c r="G21" s="228"/>
      <c r="H21" s="228"/>
      <c r="I21" s="259"/>
      <c r="J21" s="250" t="s">
        <v>29</v>
      </c>
      <c r="K21" s="228"/>
      <c r="L21" s="228"/>
      <c r="M21" s="228"/>
      <c r="N21" s="228"/>
      <c r="O21" s="228" t="s">
        <v>48</v>
      </c>
      <c r="P21" s="228"/>
      <c r="Q21" s="228"/>
      <c r="R21" s="228"/>
      <c r="S21" s="259"/>
      <c r="T21" s="287"/>
      <c r="U21" s="287"/>
      <c r="V21" s="306"/>
      <c r="W21" s="301"/>
    </row>
    <row r="22" spans="1:26" ht="22.15" customHeight="1">
      <c r="A22" s="325"/>
      <c r="B22" s="232"/>
      <c r="C22" s="230"/>
      <c r="D22" s="230"/>
      <c r="E22" s="230"/>
      <c r="F22" s="230"/>
      <c r="G22" s="230"/>
      <c r="H22" s="230"/>
      <c r="I22" s="304"/>
      <c r="J22" s="232"/>
      <c r="K22" s="230"/>
      <c r="L22" s="230"/>
      <c r="M22" s="230"/>
      <c r="N22" s="231"/>
      <c r="O22" s="303"/>
      <c r="P22" s="230"/>
      <c r="Q22" s="230"/>
      <c r="R22" s="230"/>
      <c r="S22" s="304"/>
      <c r="T22" s="287"/>
      <c r="U22" s="287"/>
      <c r="V22" s="306"/>
      <c r="W22" s="301"/>
    </row>
    <row r="23" spans="1:26" ht="22.15" customHeight="1" thickBot="1">
      <c r="A23" s="325"/>
      <c r="B23" s="273">
        <f>IF(OR(B22&lt;=30,B22&gt;=120),3,IF(OR(AND((B22&gt;30),(B22&lt;=60)),AND((B22&gt;=100),(B22&lt;120))),2,1))</f>
        <v>3</v>
      </c>
      <c r="C23" s="236"/>
      <c r="D23" s="236"/>
      <c r="E23" s="236"/>
      <c r="F23" s="236"/>
      <c r="G23" s="236"/>
      <c r="H23" s="236"/>
      <c r="I23" s="237"/>
      <c r="J23" s="273">
        <f>IF(J22&lt;60,0,IF(J22&lt;80,1,2))</f>
        <v>0</v>
      </c>
      <c r="K23" s="236"/>
      <c r="L23" s="236"/>
      <c r="M23" s="236"/>
      <c r="N23" s="274"/>
      <c r="O23" s="315">
        <f>IF(O22&lt;60,0,IF(O22&lt;80,1,2))</f>
        <v>0</v>
      </c>
      <c r="P23" s="236"/>
      <c r="Q23" s="236"/>
      <c r="R23" s="236"/>
      <c r="S23" s="237"/>
      <c r="T23" s="68">
        <v>0</v>
      </c>
      <c r="U23" s="69">
        <v>0</v>
      </c>
      <c r="V23" s="70">
        <v>0</v>
      </c>
      <c r="W23" s="301"/>
    </row>
    <row r="24" spans="1:26" ht="15" customHeight="1">
      <c r="A24" s="325"/>
      <c r="B24" s="256" t="s">
        <v>71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8"/>
      <c r="V24" s="344">
        <f>COUNTIF(X25:Z26,TRUE)</f>
        <v>0</v>
      </c>
      <c r="W24" s="301"/>
    </row>
    <row r="25" spans="1:26" ht="18" customHeight="1">
      <c r="A25" s="325"/>
      <c r="B25" s="71"/>
      <c r="C25" s="267" t="s">
        <v>100</v>
      </c>
      <c r="D25" s="267"/>
      <c r="E25" s="267"/>
      <c r="F25" s="267"/>
      <c r="G25" s="267"/>
      <c r="H25" s="267"/>
      <c r="I25" s="63"/>
      <c r="J25" s="267" t="s">
        <v>109</v>
      </c>
      <c r="K25" s="267"/>
      <c r="L25" s="267"/>
      <c r="M25" s="267"/>
      <c r="N25" s="267"/>
      <c r="O25" s="267"/>
      <c r="P25" s="63"/>
      <c r="Q25" s="348" t="s">
        <v>257</v>
      </c>
      <c r="R25" s="348"/>
      <c r="S25" s="348"/>
      <c r="T25" s="348"/>
      <c r="U25" s="348"/>
      <c r="V25" s="345"/>
      <c r="W25" s="301"/>
      <c r="X25" s="40" t="b">
        <v>0</v>
      </c>
      <c r="Y25" s="40" t="b">
        <v>0</v>
      </c>
      <c r="Z25" s="40" t="b">
        <v>0</v>
      </c>
    </row>
    <row r="26" spans="1:26" ht="18" customHeight="1" thickBot="1">
      <c r="A26" s="326"/>
      <c r="B26" s="72"/>
      <c r="C26" s="268" t="s">
        <v>110</v>
      </c>
      <c r="D26" s="268"/>
      <c r="E26" s="268"/>
      <c r="F26" s="268"/>
      <c r="G26" s="268"/>
      <c r="H26" s="268"/>
      <c r="I26" s="66"/>
      <c r="J26" s="268" t="s">
        <v>111</v>
      </c>
      <c r="K26" s="268"/>
      <c r="L26" s="268"/>
      <c r="M26" s="268"/>
      <c r="N26" s="268"/>
      <c r="O26" s="268"/>
      <c r="P26" s="66"/>
      <c r="Q26" s="268" t="s">
        <v>112</v>
      </c>
      <c r="R26" s="268"/>
      <c r="S26" s="268"/>
      <c r="T26" s="268"/>
      <c r="U26" s="268"/>
      <c r="V26" s="215"/>
      <c r="W26" s="302"/>
      <c r="X26" s="40" t="b">
        <v>0</v>
      </c>
      <c r="Y26" s="40" t="b">
        <v>0</v>
      </c>
      <c r="Z26" s="40" t="b">
        <v>0</v>
      </c>
    </row>
    <row r="27" spans="1:26" ht="22.15" customHeight="1" thickBot="1">
      <c r="A27" s="270" t="s">
        <v>50</v>
      </c>
      <c r="B27" s="233" t="s">
        <v>19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67" t="s">
        <v>20</v>
      </c>
      <c r="U27" s="281" t="s">
        <v>21</v>
      </c>
      <c r="V27" s="282"/>
      <c r="W27" s="59" t="s">
        <v>22</v>
      </c>
    </row>
    <row r="28" spans="1:26" ht="22.15" customHeight="1">
      <c r="A28" s="271"/>
      <c r="B28" s="250" t="s">
        <v>23</v>
      </c>
      <c r="C28" s="228"/>
      <c r="D28" s="228"/>
      <c r="E28" s="228"/>
      <c r="F28" s="228"/>
      <c r="G28" s="228"/>
      <c r="H28" s="228"/>
      <c r="I28" s="259"/>
      <c r="J28" s="250" t="s">
        <v>30</v>
      </c>
      <c r="K28" s="228"/>
      <c r="L28" s="228"/>
      <c r="M28" s="228"/>
      <c r="N28" s="228"/>
      <c r="O28" s="228"/>
      <c r="P28" s="228"/>
      <c r="Q28" s="228"/>
      <c r="R28" s="228"/>
      <c r="S28" s="259"/>
      <c r="T28" s="310" t="s">
        <v>72</v>
      </c>
      <c r="U28" s="331" t="s">
        <v>25</v>
      </c>
      <c r="V28" s="343" t="s">
        <v>92</v>
      </c>
      <c r="W28" s="340">
        <f>IF(X28&lt;8,X28,7)</f>
        <v>1</v>
      </c>
      <c r="X28" s="40">
        <f>MAX(B31,D31,G31)+IF((J31+L31+N31+P31)&gt;=2,2,J31+L31+N31+P31)+T31+MAX(U31,V31)+V32</f>
        <v>1</v>
      </c>
    </row>
    <row r="29" spans="1:26" ht="37.15" customHeight="1">
      <c r="A29" s="271"/>
      <c r="B29" s="250" t="s">
        <v>56</v>
      </c>
      <c r="C29" s="228"/>
      <c r="D29" s="228" t="s">
        <v>55</v>
      </c>
      <c r="E29" s="228"/>
      <c r="F29" s="228"/>
      <c r="G29" s="228" t="s">
        <v>57</v>
      </c>
      <c r="H29" s="228"/>
      <c r="I29" s="259"/>
      <c r="J29" s="250" t="s">
        <v>43</v>
      </c>
      <c r="K29" s="228"/>
      <c r="L29" s="228" t="s">
        <v>158</v>
      </c>
      <c r="M29" s="228"/>
      <c r="N29" s="228" t="s">
        <v>159</v>
      </c>
      <c r="O29" s="228"/>
      <c r="P29" s="228" t="s">
        <v>160</v>
      </c>
      <c r="Q29" s="228"/>
      <c r="R29" s="228"/>
      <c r="S29" s="259"/>
      <c r="T29" s="287"/>
      <c r="U29" s="332"/>
      <c r="V29" s="306"/>
      <c r="W29" s="301"/>
    </row>
    <row r="30" spans="1:26" ht="22.15" customHeight="1">
      <c r="A30" s="271"/>
      <c r="B30" s="251"/>
      <c r="C30" s="252"/>
      <c r="D30" s="276"/>
      <c r="E30" s="276"/>
      <c r="F30" s="276"/>
      <c r="G30" s="276"/>
      <c r="H30" s="276"/>
      <c r="I30" s="303"/>
      <c r="J30" s="275"/>
      <c r="K30" s="276"/>
      <c r="L30" s="276"/>
      <c r="M30" s="276"/>
      <c r="N30" s="276"/>
      <c r="O30" s="276"/>
      <c r="P30" s="276"/>
      <c r="Q30" s="276"/>
      <c r="R30" s="276"/>
      <c r="S30" s="303"/>
      <c r="T30" s="287"/>
      <c r="U30" s="332"/>
      <c r="V30" s="306"/>
      <c r="W30" s="301"/>
    </row>
    <row r="31" spans="1:26" ht="22.15" customHeight="1" thickBot="1">
      <c r="A31" s="271"/>
      <c r="B31" s="329">
        <f>IF(AND(B30&gt;-5,B30&lt;5),1,0)</f>
        <v>1</v>
      </c>
      <c r="C31" s="330"/>
      <c r="D31" s="327">
        <f>IF(D30&lt;5,0,IF(D30&lt;45,1,IF(D30&lt;90,2,3)))</f>
        <v>0</v>
      </c>
      <c r="E31" s="327"/>
      <c r="F31" s="327"/>
      <c r="G31" s="327">
        <f>IF(G30=0,0,IF(G30&lt;20,2,3))</f>
        <v>0</v>
      </c>
      <c r="H31" s="327"/>
      <c r="I31" s="328"/>
      <c r="J31" s="279">
        <f>IF(J30&lt;30,0,IF(J30&lt;45,1,2))</f>
        <v>0</v>
      </c>
      <c r="K31" s="280"/>
      <c r="L31" s="280">
        <f>IF(L30&lt;10,0,IF(L30&lt;30,1,2))</f>
        <v>0</v>
      </c>
      <c r="M31" s="280"/>
      <c r="N31" s="280">
        <f>IF(N30&lt;10,0,IF(N30&lt;30,1,2))</f>
        <v>0</v>
      </c>
      <c r="O31" s="280"/>
      <c r="P31" s="280">
        <f>IF(P30&lt;30,0,IF(P30&lt;45,1,2))</f>
        <v>0</v>
      </c>
      <c r="Q31" s="280"/>
      <c r="R31" s="280"/>
      <c r="S31" s="319"/>
      <c r="T31" s="62">
        <v>0</v>
      </c>
      <c r="U31" s="62">
        <v>0</v>
      </c>
      <c r="V31" s="70">
        <v>0</v>
      </c>
      <c r="W31" s="301"/>
    </row>
    <row r="32" spans="1:26" ht="14.25" customHeight="1">
      <c r="A32" s="271"/>
      <c r="B32" s="256" t="s">
        <v>71</v>
      </c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8"/>
      <c r="V32" s="346">
        <f>COUNTIF(X33:Z36,TRUE)</f>
        <v>0</v>
      </c>
      <c r="W32" s="301"/>
    </row>
    <row r="33" spans="1:26" ht="18" customHeight="1">
      <c r="A33" s="271"/>
      <c r="B33" s="71"/>
      <c r="C33" s="296" t="s">
        <v>100</v>
      </c>
      <c r="D33" s="296"/>
      <c r="E33" s="296"/>
      <c r="F33" s="296"/>
      <c r="G33" s="296"/>
      <c r="H33" s="296"/>
      <c r="I33" s="63"/>
      <c r="J33" s="267" t="s">
        <v>115</v>
      </c>
      <c r="K33" s="267"/>
      <c r="L33" s="267"/>
      <c r="M33" s="267"/>
      <c r="N33" s="267"/>
      <c r="O33" s="73"/>
      <c r="P33" s="267" t="s">
        <v>119</v>
      </c>
      <c r="Q33" s="267"/>
      <c r="R33" s="267"/>
      <c r="S33" s="267"/>
      <c r="T33" s="267"/>
      <c r="U33" s="267"/>
      <c r="V33" s="347"/>
      <c r="W33" s="301"/>
      <c r="X33" s="40" t="b">
        <v>0</v>
      </c>
      <c r="Y33" s="40" t="b">
        <v>0</v>
      </c>
      <c r="Z33" s="40" t="b">
        <v>0</v>
      </c>
    </row>
    <row r="34" spans="1:26" ht="18" customHeight="1">
      <c r="A34" s="271"/>
      <c r="B34" s="71"/>
      <c r="C34" s="296" t="s">
        <v>113</v>
      </c>
      <c r="D34" s="296"/>
      <c r="E34" s="296"/>
      <c r="F34" s="296"/>
      <c r="G34" s="296"/>
      <c r="H34" s="296"/>
      <c r="I34" s="63"/>
      <c r="J34" s="267" t="s">
        <v>116</v>
      </c>
      <c r="K34" s="267"/>
      <c r="L34" s="267"/>
      <c r="M34" s="267"/>
      <c r="N34" s="267"/>
      <c r="O34" s="73"/>
      <c r="P34" s="267" t="s">
        <v>120</v>
      </c>
      <c r="Q34" s="267"/>
      <c r="R34" s="267"/>
      <c r="S34" s="267"/>
      <c r="T34" s="267"/>
      <c r="U34" s="267"/>
      <c r="V34" s="347"/>
      <c r="W34" s="301"/>
      <c r="X34" s="40" t="b">
        <v>0</v>
      </c>
      <c r="Y34" s="40" t="b">
        <v>0</v>
      </c>
      <c r="Z34" s="40" t="b">
        <v>0</v>
      </c>
    </row>
    <row r="35" spans="1:26" ht="18" customHeight="1">
      <c r="A35" s="271"/>
      <c r="B35" s="71"/>
      <c r="C35" s="297" t="s">
        <v>122</v>
      </c>
      <c r="D35" s="297"/>
      <c r="E35" s="297"/>
      <c r="F35" s="297"/>
      <c r="G35" s="297"/>
      <c r="H35" s="297"/>
      <c r="I35" s="63"/>
      <c r="J35" s="267" t="s">
        <v>117</v>
      </c>
      <c r="K35" s="267"/>
      <c r="L35" s="267"/>
      <c r="M35" s="267"/>
      <c r="N35" s="267"/>
      <c r="O35" s="73"/>
      <c r="P35" s="267" t="s">
        <v>121</v>
      </c>
      <c r="Q35" s="267"/>
      <c r="R35" s="267"/>
      <c r="S35" s="267"/>
      <c r="T35" s="267"/>
      <c r="U35" s="267"/>
      <c r="V35" s="347"/>
      <c r="W35" s="301"/>
      <c r="X35" s="40" t="b">
        <v>0</v>
      </c>
      <c r="Y35" s="40" t="b">
        <v>0</v>
      </c>
      <c r="Z35" s="40" t="b">
        <v>0</v>
      </c>
    </row>
    <row r="36" spans="1:26" ht="18" customHeight="1" thickBot="1">
      <c r="A36" s="272"/>
      <c r="B36" s="72"/>
      <c r="C36" s="298" t="s">
        <v>114</v>
      </c>
      <c r="D36" s="298"/>
      <c r="E36" s="298"/>
      <c r="F36" s="298"/>
      <c r="G36" s="298"/>
      <c r="H36" s="298"/>
      <c r="I36" s="66"/>
      <c r="J36" s="268" t="s">
        <v>118</v>
      </c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315"/>
      <c r="W36" s="302"/>
      <c r="X36" s="40" t="b">
        <v>0</v>
      </c>
      <c r="Y36" s="40" t="b">
        <v>0</v>
      </c>
    </row>
    <row r="37" spans="1:26" ht="22.15" customHeight="1" thickBot="1">
      <c r="A37" s="270" t="s">
        <v>31</v>
      </c>
      <c r="B37" s="233" t="s">
        <v>19</v>
      </c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5"/>
      <c r="T37" s="59" t="s">
        <v>20</v>
      </c>
      <c r="U37" s="281" t="s">
        <v>21</v>
      </c>
      <c r="V37" s="283"/>
      <c r="W37" s="60" t="s">
        <v>22</v>
      </c>
      <c r="Y37" s="299"/>
      <c r="Z37" s="299"/>
    </row>
    <row r="38" spans="1:26" ht="22.15" customHeight="1">
      <c r="A38" s="271"/>
      <c r="B38" s="250" t="s">
        <v>23</v>
      </c>
      <c r="C38" s="228"/>
      <c r="D38" s="228"/>
      <c r="E38" s="228"/>
      <c r="F38" s="228"/>
      <c r="G38" s="228"/>
      <c r="H38" s="228"/>
      <c r="I38" s="259"/>
      <c r="J38" s="250" t="s">
        <v>32</v>
      </c>
      <c r="K38" s="228"/>
      <c r="L38" s="228"/>
      <c r="M38" s="228"/>
      <c r="N38" s="228"/>
      <c r="O38" s="228"/>
      <c r="P38" s="228"/>
      <c r="Q38" s="228"/>
      <c r="R38" s="228"/>
      <c r="S38" s="259"/>
      <c r="T38" s="317" t="s">
        <v>161</v>
      </c>
      <c r="U38" s="305" t="s">
        <v>25</v>
      </c>
      <c r="V38" s="310" t="s">
        <v>93</v>
      </c>
      <c r="W38" s="300">
        <f>IF(X38&lt;8,X38,7)</f>
        <v>1</v>
      </c>
      <c r="X38" s="40">
        <f>MAX(B41,D41,G41)+IF((J41+O41)&gt;=2,2,J41+O41)+T41+MAX(U41,V41)+V42</f>
        <v>1</v>
      </c>
      <c r="Y38" s="299"/>
      <c r="Z38" s="299"/>
    </row>
    <row r="39" spans="1:26" ht="37.15" customHeight="1">
      <c r="A39" s="271"/>
      <c r="B39" s="250" t="s">
        <v>56</v>
      </c>
      <c r="C39" s="228"/>
      <c r="D39" s="228" t="s">
        <v>55</v>
      </c>
      <c r="E39" s="228"/>
      <c r="F39" s="228"/>
      <c r="G39" s="228" t="s">
        <v>57</v>
      </c>
      <c r="H39" s="228"/>
      <c r="I39" s="259"/>
      <c r="J39" s="250" t="s">
        <v>58</v>
      </c>
      <c r="K39" s="228"/>
      <c r="L39" s="228"/>
      <c r="M39" s="228"/>
      <c r="N39" s="228"/>
      <c r="O39" s="228" t="s">
        <v>59</v>
      </c>
      <c r="P39" s="228"/>
      <c r="Q39" s="228"/>
      <c r="R39" s="228"/>
      <c r="S39" s="259"/>
      <c r="T39" s="318"/>
      <c r="U39" s="306"/>
      <c r="V39" s="287"/>
      <c r="W39" s="301"/>
    </row>
    <row r="40" spans="1:26" ht="22.15" customHeight="1">
      <c r="A40" s="271"/>
      <c r="B40" s="251"/>
      <c r="C40" s="252"/>
      <c r="D40" s="276"/>
      <c r="E40" s="276"/>
      <c r="F40" s="276"/>
      <c r="G40" s="276"/>
      <c r="H40" s="276"/>
      <c r="I40" s="303"/>
      <c r="J40" s="275"/>
      <c r="K40" s="276"/>
      <c r="L40" s="276"/>
      <c r="M40" s="276"/>
      <c r="N40" s="276"/>
      <c r="O40" s="276"/>
      <c r="P40" s="276"/>
      <c r="Q40" s="276"/>
      <c r="R40" s="276"/>
      <c r="S40" s="303"/>
      <c r="T40" s="318"/>
      <c r="U40" s="306"/>
      <c r="V40" s="287"/>
      <c r="W40" s="301"/>
    </row>
    <row r="41" spans="1:26" ht="22.15" customHeight="1" thickBot="1">
      <c r="A41" s="271"/>
      <c r="B41" s="277">
        <f>IF(B40&lt;5,1,0)</f>
        <v>1</v>
      </c>
      <c r="C41" s="278"/>
      <c r="D41" s="280">
        <f>IF(D40&lt;=5,0,IF(D40&lt;20,1,IF(D40&lt;45,2,3)))</f>
        <v>0</v>
      </c>
      <c r="E41" s="280"/>
      <c r="F41" s="280"/>
      <c r="G41" s="280">
        <f>IF(G40=0,0,IF(G40&lt;5,1,IF(G40&lt;20,2,3)))</f>
        <v>0</v>
      </c>
      <c r="H41" s="280"/>
      <c r="I41" s="319"/>
      <c r="J41" s="279">
        <f>IF(J40&lt;20,0,IF(J40&lt;45,1,2))</f>
        <v>0</v>
      </c>
      <c r="K41" s="280"/>
      <c r="L41" s="280"/>
      <c r="M41" s="280"/>
      <c r="N41" s="280"/>
      <c r="O41" s="280">
        <f>IF(O40&lt;10,0,IF(O40&lt;30,1,2))</f>
        <v>0</v>
      </c>
      <c r="P41" s="280"/>
      <c r="Q41" s="280"/>
      <c r="R41" s="280"/>
      <c r="S41" s="319"/>
      <c r="T41" s="69">
        <v>0</v>
      </c>
      <c r="U41" s="69">
        <v>0</v>
      </c>
      <c r="V41" s="70">
        <v>0</v>
      </c>
      <c r="W41" s="301"/>
    </row>
    <row r="42" spans="1:26" ht="15.75" customHeight="1">
      <c r="A42" s="271"/>
      <c r="B42" s="256" t="s">
        <v>71</v>
      </c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8"/>
      <c r="V42" s="344">
        <f>COUNTIF(X43:Y46,TRUE)</f>
        <v>0</v>
      </c>
      <c r="W42" s="301"/>
    </row>
    <row r="43" spans="1:26" ht="18" customHeight="1">
      <c r="A43" s="271"/>
      <c r="B43" s="74"/>
      <c r="C43" s="322" t="s">
        <v>123</v>
      </c>
      <c r="D43" s="322"/>
      <c r="E43" s="322"/>
      <c r="F43" s="322"/>
      <c r="G43" s="322"/>
      <c r="H43" s="322"/>
      <c r="I43" s="322"/>
      <c r="J43" s="322"/>
      <c r="K43" s="322"/>
      <c r="L43" s="322"/>
      <c r="M43" s="322"/>
      <c r="N43" s="75"/>
      <c r="O43" s="322" t="s">
        <v>125</v>
      </c>
      <c r="P43" s="322"/>
      <c r="Q43" s="322"/>
      <c r="R43" s="322"/>
      <c r="S43" s="322"/>
      <c r="T43" s="322"/>
      <c r="U43" s="322"/>
      <c r="V43" s="345"/>
      <c r="W43" s="301"/>
      <c r="X43" s="40" t="b">
        <v>0</v>
      </c>
      <c r="Y43" s="40" t="b">
        <v>0</v>
      </c>
    </row>
    <row r="44" spans="1:26" ht="18" customHeight="1" thickBot="1">
      <c r="A44" s="271"/>
      <c r="B44" s="74"/>
      <c r="C44" s="322" t="s">
        <v>124</v>
      </c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75"/>
      <c r="O44" s="322" t="s">
        <v>126</v>
      </c>
      <c r="P44" s="322"/>
      <c r="Q44" s="322"/>
      <c r="R44" s="322"/>
      <c r="S44" s="322"/>
      <c r="T44" s="322"/>
      <c r="U44" s="333"/>
      <c r="V44" s="352"/>
      <c r="W44" s="301"/>
      <c r="X44" s="40" t="b">
        <v>0</v>
      </c>
      <c r="Y44" s="40" t="b">
        <v>0</v>
      </c>
    </row>
    <row r="45" spans="1:26" ht="18" customHeight="1">
      <c r="A45" s="271"/>
      <c r="B45" s="288"/>
      <c r="C45" s="289"/>
      <c r="D45" s="334" t="s">
        <v>73</v>
      </c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6"/>
      <c r="V45" s="76"/>
      <c r="W45" s="301"/>
      <c r="X45" s="40" t="b">
        <v>0</v>
      </c>
    </row>
    <row r="46" spans="1:26" ht="18" customHeight="1" thickBot="1">
      <c r="A46" s="272"/>
      <c r="B46" s="290"/>
      <c r="C46" s="291"/>
      <c r="D46" s="337" t="s">
        <v>74</v>
      </c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9"/>
      <c r="V46" s="77"/>
      <c r="W46" s="302"/>
      <c r="X46" s="40" t="b">
        <v>0</v>
      </c>
    </row>
    <row r="47" spans="1:26" ht="22.15" customHeight="1" thickBot="1">
      <c r="A47" s="270" t="s">
        <v>51</v>
      </c>
      <c r="B47" s="233" t="s">
        <v>19</v>
      </c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5"/>
      <c r="T47" s="60" t="s">
        <v>20</v>
      </c>
      <c r="U47" s="284" t="s">
        <v>21</v>
      </c>
      <c r="V47" s="285"/>
      <c r="W47" s="59" t="s">
        <v>22</v>
      </c>
    </row>
    <row r="48" spans="1:26" ht="22.15" customHeight="1">
      <c r="A48" s="271"/>
      <c r="B48" s="250" t="s">
        <v>23</v>
      </c>
      <c r="C48" s="228"/>
      <c r="D48" s="228"/>
      <c r="E48" s="228"/>
      <c r="F48" s="228"/>
      <c r="G48" s="228"/>
      <c r="H48" s="228"/>
      <c r="I48" s="229"/>
      <c r="J48" s="255" t="s">
        <v>32</v>
      </c>
      <c r="K48" s="228"/>
      <c r="L48" s="228"/>
      <c r="M48" s="228"/>
      <c r="N48" s="228"/>
      <c r="O48" s="228"/>
      <c r="P48" s="228"/>
      <c r="Q48" s="228"/>
      <c r="R48" s="228"/>
      <c r="S48" s="259"/>
      <c r="T48" s="320" t="s">
        <v>75</v>
      </c>
      <c r="U48" s="310" t="s">
        <v>25</v>
      </c>
      <c r="V48" s="310" t="s">
        <v>93</v>
      </c>
      <c r="W48" s="300">
        <f>IF(X48&lt;8,X48,7)</f>
        <v>1</v>
      </c>
      <c r="X48" s="40">
        <f>MAX(B51,F51)+IF((J51+O51)&gt;=2,2,J51+O51)+T51+MAX(U51,V51)+V52</f>
        <v>1</v>
      </c>
    </row>
    <row r="49" spans="1:38" ht="26.45" customHeight="1">
      <c r="A49" s="271"/>
      <c r="B49" s="250" t="s">
        <v>27</v>
      </c>
      <c r="C49" s="228"/>
      <c r="D49" s="228"/>
      <c r="E49" s="228"/>
      <c r="F49" s="228" t="s">
        <v>60</v>
      </c>
      <c r="G49" s="228"/>
      <c r="H49" s="228"/>
      <c r="I49" s="229"/>
      <c r="J49" s="255" t="s">
        <v>61</v>
      </c>
      <c r="K49" s="228"/>
      <c r="L49" s="228"/>
      <c r="M49" s="228"/>
      <c r="N49" s="228"/>
      <c r="O49" s="228" t="s">
        <v>62</v>
      </c>
      <c r="P49" s="228"/>
      <c r="Q49" s="228"/>
      <c r="R49" s="228"/>
      <c r="S49" s="259"/>
      <c r="T49" s="321"/>
      <c r="U49" s="287"/>
      <c r="V49" s="287"/>
      <c r="W49" s="301"/>
    </row>
    <row r="50" spans="1:38" ht="22.15" customHeight="1">
      <c r="A50" s="271"/>
      <c r="B50" s="232"/>
      <c r="C50" s="230"/>
      <c r="D50" s="230"/>
      <c r="E50" s="231"/>
      <c r="F50" s="276"/>
      <c r="G50" s="276"/>
      <c r="H50" s="276"/>
      <c r="I50" s="303"/>
      <c r="J50" s="251"/>
      <c r="K50" s="252"/>
      <c r="L50" s="252"/>
      <c r="M50" s="252"/>
      <c r="N50" s="252"/>
      <c r="O50" s="276"/>
      <c r="P50" s="276"/>
      <c r="Q50" s="276"/>
      <c r="R50" s="276"/>
      <c r="S50" s="303"/>
      <c r="T50" s="321"/>
      <c r="U50" s="287"/>
      <c r="V50" s="287"/>
      <c r="W50" s="301"/>
    </row>
    <row r="51" spans="1:38" ht="22.15" customHeight="1" thickBot="1">
      <c r="A51" s="271"/>
      <c r="B51" s="279">
        <f>IF(B50&lt;20,1,IF(B50&lt;45,2,3))</f>
        <v>1</v>
      </c>
      <c r="C51" s="280"/>
      <c r="D51" s="280"/>
      <c r="E51" s="280"/>
      <c r="F51" s="280">
        <f>IF(F50=0,0,IF(F50&lt;30,2,3))</f>
        <v>0</v>
      </c>
      <c r="G51" s="280"/>
      <c r="H51" s="280"/>
      <c r="I51" s="319"/>
      <c r="J51" s="277">
        <f>IF(J50&lt;10,0,IF(J50&lt;30,1,2))</f>
        <v>0</v>
      </c>
      <c r="K51" s="278"/>
      <c r="L51" s="278"/>
      <c r="M51" s="278"/>
      <c r="N51" s="278"/>
      <c r="O51" s="280">
        <f>IF(O50&lt;10,0,IF(O50&lt;30,1,2))</f>
        <v>0</v>
      </c>
      <c r="P51" s="280"/>
      <c r="Q51" s="280"/>
      <c r="R51" s="280"/>
      <c r="S51" s="319"/>
      <c r="T51" s="68">
        <v>0</v>
      </c>
      <c r="U51" s="69">
        <v>0</v>
      </c>
      <c r="V51" s="70">
        <v>0</v>
      </c>
      <c r="W51" s="301"/>
    </row>
    <row r="52" spans="1:38" ht="15.75" customHeight="1">
      <c r="A52" s="271"/>
      <c r="B52" s="256" t="s">
        <v>71</v>
      </c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8"/>
      <c r="V52" s="344">
        <f>COUNTIF(X53:Z57,TRUE)</f>
        <v>0</v>
      </c>
      <c r="W52" s="301"/>
    </row>
    <row r="53" spans="1:38" ht="18" customHeight="1">
      <c r="A53" s="271"/>
      <c r="B53" s="71"/>
      <c r="C53" s="316" t="s">
        <v>127</v>
      </c>
      <c r="D53" s="316"/>
      <c r="E53" s="316"/>
      <c r="F53" s="316"/>
      <c r="G53" s="316"/>
      <c r="H53" s="316"/>
      <c r="I53" s="316"/>
      <c r="K53" s="316" t="s">
        <v>174</v>
      </c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45"/>
      <c r="W53" s="301"/>
      <c r="X53" s="40" t="b">
        <v>0</v>
      </c>
      <c r="Y53" s="40" t="b">
        <v>0</v>
      </c>
    </row>
    <row r="54" spans="1:38" ht="18" customHeight="1">
      <c r="A54" s="271"/>
      <c r="B54" s="78"/>
      <c r="C54" s="224" t="s">
        <v>165</v>
      </c>
      <c r="D54" s="224"/>
      <c r="E54" s="224"/>
      <c r="F54" s="224"/>
      <c r="G54" s="224"/>
      <c r="H54" s="224"/>
      <c r="I54" s="224"/>
      <c r="K54" s="316" t="s">
        <v>120</v>
      </c>
      <c r="L54" s="316"/>
      <c r="M54" s="316"/>
      <c r="N54" s="316"/>
      <c r="O54" s="316"/>
      <c r="P54" s="316"/>
      <c r="Q54" s="316"/>
      <c r="R54" s="79"/>
      <c r="S54" s="316" t="s">
        <v>130</v>
      </c>
      <c r="T54" s="316"/>
      <c r="U54" s="316"/>
      <c r="V54" s="345"/>
      <c r="W54" s="301"/>
      <c r="X54" s="40" t="b">
        <v>0</v>
      </c>
      <c r="Y54" s="40" t="b">
        <v>0</v>
      </c>
      <c r="Z54" s="40" t="b">
        <v>0</v>
      </c>
    </row>
    <row r="55" spans="1:38" ht="18" customHeight="1" thickBot="1">
      <c r="A55" s="271"/>
      <c r="B55" s="78"/>
      <c r="C55" s="316" t="s">
        <v>128</v>
      </c>
      <c r="D55" s="316"/>
      <c r="E55" s="316"/>
      <c r="F55" s="316"/>
      <c r="G55" s="316"/>
      <c r="H55" s="316"/>
      <c r="I55" s="316"/>
      <c r="K55" s="316" t="s">
        <v>129</v>
      </c>
      <c r="L55" s="316"/>
      <c r="M55" s="316"/>
      <c r="N55" s="316"/>
      <c r="O55" s="316"/>
      <c r="P55" s="316"/>
      <c r="Q55" s="316"/>
      <c r="R55" s="79"/>
      <c r="S55" s="316" t="s">
        <v>131</v>
      </c>
      <c r="T55" s="316"/>
      <c r="U55" s="316"/>
      <c r="V55" s="352"/>
      <c r="W55" s="301"/>
      <c r="X55" s="40" t="b">
        <v>0</v>
      </c>
      <c r="Y55" s="40" t="b">
        <v>0</v>
      </c>
      <c r="Z55" s="80" t="b">
        <v>0</v>
      </c>
      <c r="AA55" s="47"/>
      <c r="AB55" s="47"/>
      <c r="AC55" s="47"/>
      <c r="AD55" s="47"/>
      <c r="AE55" s="47"/>
      <c r="AF55" s="47"/>
      <c r="AG55" s="47"/>
      <c r="AH55" s="46"/>
      <c r="AI55" s="46"/>
      <c r="AJ55" s="46"/>
      <c r="AK55" s="46"/>
      <c r="AL55" s="46"/>
    </row>
    <row r="56" spans="1:38" ht="18" customHeight="1">
      <c r="A56" s="271"/>
      <c r="B56" s="292"/>
      <c r="C56" s="293"/>
      <c r="D56" s="356" t="s">
        <v>77</v>
      </c>
      <c r="E56" s="357"/>
      <c r="F56" s="357"/>
      <c r="G56" s="357"/>
      <c r="H56" s="357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8"/>
      <c r="V56" s="76"/>
      <c r="W56" s="301"/>
      <c r="X56" s="40" t="b">
        <v>0</v>
      </c>
    </row>
    <row r="57" spans="1:38" ht="18" customHeight="1" thickBot="1">
      <c r="A57" s="272"/>
      <c r="B57" s="294"/>
      <c r="C57" s="295"/>
      <c r="D57" s="359" t="s">
        <v>78</v>
      </c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1"/>
      <c r="V57" s="77"/>
      <c r="W57" s="302"/>
      <c r="X57" s="40" t="b">
        <v>0</v>
      </c>
    </row>
    <row r="58" spans="1:38" ht="28.9" customHeight="1" thickBot="1">
      <c r="A58" s="270" t="s">
        <v>52</v>
      </c>
      <c r="B58" s="233" t="s">
        <v>33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59" t="s">
        <v>20</v>
      </c>
      <c r="U58" s="59" t="s">
        <v>34</v>
      </c>
      <c r="V58" s="81" t="s">
        <v>96</v>
      </c>
      <c r="W58" s="59" t="s">
        <v>22</v>
      </c>
    </row>
    <row r="59" spans="1:38" ht="27.6" customHeight="1">
      <c r="A59" s="271"/>
      <c r="B59" s="250" t="s">
        <v>53</v>
      </c>
      <c r="C59" s="228"/>
      <c r="D59" s="228"/>
      <c r="E59" s="228"/>
      <c r="F59" s="228"/>
      <c r="G59" s="228"/>
      <c r="H59" s="228"/>
      <c r="I59" s="228"/>
      <c r="J59" s="259"/>
      <c r="K59" s="250" t="s">
        <v>54</v>
      </c>
      <c r="L59" s="228"/>
      <c r="M59" s="228"/>
      <c r="N59" s="228"/>
      <c r="O59" s="228"/>
      <c r="P59" s="228"/>
      <c r="Q59" s="228"/>
      <c r="R59" s="228"/>
      <c r="S59" s="259"/>
      <c r="T59" s="317" t="s">
        <v>76</v>
      </c>
      <c r="U59" s="305" t="s">
        <v>25</v>
      </c>
      <c r="V59" s="310" t="s">
        <v>96</v>
      </c>
      <c r="W59" s="307">
        <f>IF(X59&lt;8,X59,7)</f>
        <v>0</v>
      </c>
      <c r="X59" s="40">
        <f>B62+IF((K62+N62+Q62)&gt;=2,2,K62+N62+Q62)+T62+U62+V63</f>
        <v>0</v>
      </c>
    </row>
    <row r="60" spans="1:38" ht="28.9" customHeight="1">
      <c r="A60" s="271"/>
      <c r="B60" s="250"/>
      <c r="C60" s="228"/>
      <c r="D60" s="228"/>
      <c r="E60" s="228"/>
      <c r="F60" s="228"/>
      <c r="G60" s="228"/>
      <c r="H60" s="228"/>
      <c r="I60" s="228"/>
      <c r="J60" s="259"/>
      <c r="K60" s="250" t="s">
        <v>162</v>
      </c>
      <c r="L60" s="228"/>
      <c r="M60" s="228"/>
      <c r="N60" s="228" t="s">
        <v>163</v>
      </c>
      <c r="O60" s="228"/>
      <c r="P60" s="228"/>
      <c r="Q60" s="228" t="s">
        <v>164</v>
      </c>
      <c r="R60" s="228"/>
      <c r="S60" s="259"/>
      <c r="T60" s="318"/>
      <c r="U60" s="306"/>
      <c r="V60" s="287"/>
      <c r="W60" s="308"/>
    </row>
    <row r="61" spans="1:38" ht="22.15" customHeight="1">
      <c r="A61" s="271"/>
      <c r="B61" s="349"/>
      <c r="C61" s="350"/>
      <c r="D61" s="350"/>
      <c r="E61" s="350"/>
      <c r="F61" s="350"/>
      <c r="G61" s="350"/>
      <c r="H61" s="350"/>
      <c r="I61" s="350"/>
      <c r="J61" s="351"/>
      <c r="K61" s="275"/>
      <c r="L61" s="276"/>
      <c r="M61" s="276"/>
      <c r="N61" s="276"/>
      <c r="O61" s="276"/>
      <c r="P61" s="276"/>
      <c r="Q61" s="362"/>
      <c r="R61" s="362"/>
      <c r="S61" s="363"/>
      <c r="T61" s="318"/>
      <c r="U61" s="306"/>
      <c r="V61" s="287"/>
      <c r="W61" s="308"/>
    </row>
    <row r="62" spans="1:38" ht="22.15" customHeight="1" thickBot="1">
      <c r="A62" s="271"/>
      <c r="B62" s="273">
        <f>IF(B61&lt;0.5,0,IF(B61&lt;1,1,IF(B61&lt;2,2,3)))</f>
        <v>0</v>
      </c>
      <c r="C62" s="236"/>
      <c r="D62" s="236"/>
      <c r="E62" s="236"/>
      <c r="F62" s="236"/>
      <c r="G62" s="236"/>
      <c r="H62" s="236"/>
      <c r="I62" s="236"/>
      <c r="J62" s="237"/>
      <c r="K62" s="279">
        <f>IF(K61&lt;400,0,IF(K61&lt;1000,1,2))</f>
        <v>0</v>
      </c>
      <c r="L62" s="280"/>
      <c r="M62" s="280"/>
      <c r="N62" s="280">
        <f>IF(N61&lt;2,0,IF(N61&lt;4,1,2))</f>
        <v>0</v>
      </c>
      <c r="O62" s="280"/>
      <c r="P62" s="280"/>
      <c r="Q62" s="280">
        <f>IF(Q61&lt;2,0,IF(Q61&lt;4,1,2))</f>
        <v>0</v>
      </c>
      <c r="R62" s="280"/>
      <c r="S62" s="319"/>
      <c r="T62" s="69">
        <v>0</v>
      </c>
      <c r="U62" s="69">
        <v>0</v>
      </c>
      <c r="V62" s="311"/>
      <c r="W62" s="308"/>
    </row>
    <row r="63" spans="1:38" ht="15.75" customHeight="1">
      <c r="A63" s="271"/>
      <c r="B63" s="312" t="s">
        <v>71</v>
      </c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313"/>
      <c r="V63" s="353">
        <f>COUNTIF(X64:Z66,TRUE)</f>
        <v>0</v>
      </c>
      <c r="W63" s="308"/>
    </row>
    <row r="64" spans="1:38" ht="18" customHeight="1">
      <c r="A64" s="271"/>
      <c r="B64" s="82"/>
      <c r="C64" s="224" t="s">
        <v>132</v>
      </c>
      <c r="D64" s="224"/>
      <c r="E64" s="224"/>
      <c r="F64" s="224"/>
      <c r="G64" s="224"/>
      <c r="H64" s="224"/>
      <c r="I64" s="224"/>
      <c r="J64" s="224"/>
      <c r="K64" s="224"/>
      <c r="L64" s="83"/>
      <c r="M64" s="224" t="s">
        <v>258</v>
      </c>
      <c r="N64" s="224"/>
      <c r="O64" s="224"/>
      <c r="P64" s="224"/>
      <c r="Q64" s="224"/>
      <c r="R64" s="224"/>
      <c r="S64" s="224"/>
      <c r="T64" s="224"/>
      <c r="U64" s="224"/>
      <c r="V64" s="354"/>
      <c r="W64" s="308"/>
      <c r="X64" s="40" t="b">
        <v>0</v>
      </c>
      <c r="Y64" s="40" t="b">
        <v>0</v>
      </c>
    </row>
    <row r="65" spans="1:26" ht="18" customHeight="1">
      <c r="A65" s="271"/>
      <c r="B65" s="82"/>
      <c r="C65" s="224" t="s">
        <v>124</v>
      </c>
      <c r="D65" s="224"/>
      <c r="E65" s="224"/>
      <c r="F65" s="224"/>
      <c r="G65" s="224"/>
      <c r="H65" s="224"/>
      <c r="I65" s="224"/>
      <c r="J65" s="224"/>
      <c r="K65" s="224"/>
      <c r="L65" s="49"/>
      <c r="M65" s="224" t="s">
        <v>135</v>
      </c>
      <c r="N65" s="224"/>
      <c r="O65" s="224"/>
      <c r="P65" s="224"/>
      <c r="Q65" s="224"/>
      <c r="R65" s="224"/>
      <c r="S65" s="83"/>
      <c r="T65" s="224" t="s">
        <v>136</v>
      </c>
      <c r="U65" s="224"/>
      <c r="V65" s="354"/>
      <c r="W65" s="308"/>
      <c r="X65" s="40" t="b">
        <v>0</v>
      </c>
      <c r="Y65" s="40" t="b">
        <v>0</v>
      </c>
      <c r="Z65" s="40" t="b">
        <v>0</v>
      </c>
    </row>
    <row r="66" spans="1:26" ht="18" customHeight="1" thickBot="1">
      <c r="A66" s="272"/>
      <c r="B66" s="84"/>
      <c r="C66" s="314" t="s">
        <v>133</v>
      </c>
      <c r="D66" s="314"/>
      <c r="E66" s="314"/>
      <c r="F66" s="314"/>
      <c r="G66" s="314"/>
      <c r="H66" s="314"/>
      <c r="I66" s="314"/>
      <c r="J66" s="314"/>
      <c r="K66" s="314"/>
      <c r="L66" s="85"/>
      <c r="M66" s="314" t="s">
        <v>134</v>
      </c>
      <c r="N66" s="314"/>
      <c r="O66" s="314"/>
      <c r="P66" s="314"/>
      <c r="Q66" s="314"/>
      <c r="R66" s="314"/>
      <c r="S66" s="314"/>
      <c r="T66" s="314"/>
      <c r="U66" s="314"/>
      <c r="V66" s="355"/>
      <c r="W66" s="309"/>
      <c r="X66" s="40" t="b">
        <v>0</v>
      </c>
      <c r="Y66" s="40" t="b">
        <v>0</v>
      </c>
    </row>
  </sheetData>
  <mergeCells count="227">
    <mergeCell ref="A58:A66"/>
    <mergeCell ref="B58:S58"/>
    <mergeCell ref="B59:J60"/>
    <mergeCell ref="K59:S59"/>
    <mergeCell ref="T59:T61"/>
    <mergeCell ref="U59:U61"/>
    <mergeCell ref="W59:W66"/>
    <mergeCell ref="K60:M60"/>
    <mergeCell ref="N60:P60"/>
    <mergeCell ref="Q60:S60"/>
    <mergeCell ref="B61:J61"/>
    <mergeCell ref="K61:M61"/>
    <mergeCell ref="N61:P61"/>
    <mergeCell ref="Q61:S61"/>
    <mergeCell ref="B62:J62"/>
    <mergeCell ref="C66:K66"/>
    <mergeCell ref="M66:U66"/>
    <mergeCell ref="K62:M62"/>
    <mergeCell ref="N62:P62"/>
    <mergeCell ref="Q62:S62"/>
    <mergeCell ref="B63:U63"/>
    <mergeCell ref="V63:V66"/>
    <mergeCell ref="C64:K64"/>
    <mergeCell ref="M64:U64"/>
    <mergeCell ref="C65:K65"/>
    <mergeCell ref="M65:R65"/>
    <mergeCell ref="T65:U65"/>
    <mergeCell ref="V59:V62"/>
    <mergeCell ref="W48:W57"/>
    <mergeCell ref="B49:E49"/>
    <mergeCell ref="F49:I49"/>
    <mergeCell ref="J49:N49"/>
    <mergeCell ref="O49:S49"/>
    <mergeCell ref="B50:E50"/>
    <mergeCell ref="F50:I50"/>
    <mergeCell ref="J50:N50"/>
    <mergeCell ref="V52:V55"/>
    <mergeCell ref="C53:I53"/>
    <mergeCell ref="K53:U53"/>
    <mergeCell ref="C54:I54"/>
    <mergeCell ref="K54:Q54"/>
    <mergeCell ref="S54:U54"/>
    <mergeCell ref="C55:I55"/>
    <mergeCell ref="K55:Q55"/>
    <mergeCell ref="S55:U55"/>
    <mergeCell ref="B56:C56"/>
    <mergeCell ref="D56:U56"/>
    <mergeCell ref="B57:C57"/>
    <mergeCell ref="D57:U57"/>
    <mergeCell ref="B46:C46"/>
    <mergeCell ref="D46:U46"/>
    <mergeCell ref="A47:A57"/>
    <mergeCell ref="B47:S47"/>
    <mergeCell ref="U47:V47"/>
    <mergeCell ref="B48:I48"/>
    <mergeCell ref="J48:S48"/>
    <mergeCell ref="T48:T50"/>
    <mergeCell ref="O50:S50"/>
    <mergeCell ref="B51:E51"/>
    <mergeCell ref="F51:I51"/>
    <mergeCell ref="J51:N51"/>
    <mergeCell ref="O51:S51"/>
    <mergeCell ref="B52:U52"/>
    <mergeCell ref="U48:U50"/>
    <mergeCell ref="V48:V50"/>
    <mergeCell ref="G40:I40"/>
    <mergeCell ref="J40:N40"/>
    <mergeCell ref="O40:S40"/>
    <mergeCell ref="B41:C41"/>
    <mergeCell ref="D41:F41"/>
    <mergeCell ref="G41:I41"/>
    <mergeCell ref="J41:N41"/>
    <mergeCell ref="O41:S41"/>
    <mergeCell ref="B45:C45"/>
    <mergeCell ref="D45:U45"/>
    <mergeCell ref="J36:U36"/>
    <mergeCell ref="A37:A46"/>
    <mergeCell ref="B37:S37"/>
    <mergeCell ref="U37:V37"/>
    <mergeCell ref="J39:N39"/>
    <mergeCell ref="O39:S39"/>
    <mergeCell ref="B40:C40"/>
    <mergeCell ref="D40:F40"/>
    <mergeCell ref="Y37:Z38"/>
    <mergeCell ref="B38:I38"/>
    <mergeCell ref="J38:S38"/>
    <mergeCell ref="T38:T40"/>
    <mergeCell ref="U38:U40"/>
    <mergeCell ref="V38:V40"/>
    <mergeCell ref="W38:W46"/>
    <mergeCell ref="B39:C39"/>
    <mergeCell ref="D39:F39"/>
    <mergeCell ref="G39:I39"/>
    <mergeCell ref="B42:U42"/>
    <mergeCell ref="V42:V44"/>
    <mergeCell ref="C43:M43"/>
    <mergeCell ref="O43:U43"/>
    <mergeCell ref="C44:M44"/>
    <mergeCell ref="O44:U44"/>
    <mergeCell ref="W28:W36"/>
    <mergeCell ref="B29:C29"/>
    <mergeCell ref="D29:F29"/>
    <mergeCell ref="G29:I29"/>
    <mergeCell ref="J29:K29"/>
    <mergeCell ref="L29:M29"/>
    <mergeCell ref="N29:O29"/>
    <mergeCell ref="P29:S29"/>
    <mergeCell ref="P30:S30"/>
    <mergeCell ref="B31:C31"/>
    <mergeCell ref="D31:F31"/>
    <mergeCell ref="G31:I31"/>
    <mergeCell ref="J31:K31"/>
    <mergeCell ref="L31:M31"/>
    <mergeCell ref="N31:O31"/>
    <mergeCell ref="P31:S31"/>
    <mergeCell ref="B30:C30"/>
    <mergeCell ref="D30:F30"/>
    <mergeCell ref="G30:I30"/>
    <mergeCell ref="J30:K30"/>
    <mergeCell ref="L30:M30"/>
    <mergeCell ref="N30:O30"/>
    <mergeCell ref="B32:U32"/>
    <mergeCell ref="V32:V36"/>
    <mergeCell ref="V20:V22"/>
    <mergeCell ref="Q25:U25"/>
    <mergeCell ref="C26:H26"/>
    <mergeCell ref="J26:O26"/>
    <mergeCell ref="Q26:U26"/>
    <mergeCell ref="A27:A36"/>
    <mergeCell ref="B27:S27"/>
    <mergeCell ref="U27:V27"/>
    <mergeCell ref="B28:I28"/>
    <mergeCell ref="J28:S28"/>
    <mergeCell ref="T28:T30"/>
    <mergeCell ref="A19:A26"/>
    <mergeCell ref="U28:U30"/>
    <mergeCell ref="V28:V30"/>
    <mergeCell ref="C33:H33"/>
    <mergeCell ref="J33:N33"/>
    <mergeCell ref="P33:U33"/>
    <mergeCell ref="C34:H34"/>
    <mergeCell ref="J34:N34"/>
    <mergeCell ref="P34:U34"/>
    <mergeCell ref="C35:H35"/>
    <mergeCell ref="J35:N35"/>
    <mergeCell ref="P35:U35"/>
    <mergeCell ref="C36:H36"/>
    <mergeCell ref="W20:W26"/>
    <mergeCell ref="J21:N21"/>
    <mergeCell ref="O21:S21"/>
    <mergeCell ref="B24:U24"/>
    <mergeCell ref="V24:V26"/>
    <mergeCell ref="C25:H25"/>
    <mergeCell ref="J25:O25"/>
    <mergeCell ref="J17:O17"/>
    <mergeCell ref="Q17:U17"/>
    <mergeCell ref="C18:H18"/>
    <mergeCell ref="J18:O18"/>
    <mergeCell ref="P18:U18"/>
    <mergeCell ref="B19:S19"/>
    <mergeCell ref="U19:V19"/>
    <mergeCell ref="B20:I21"/>
    <mergeCell ref="J20:S20"/>
    <mergeCell ref="B22:I22"/>
    <mergeCell ref="J22:N22"/>
    <mergeCell ref="O22:S22"/>
    <mergeCell ref="B23:I23"/>
    <mergeCell ref="J23:N23"/>
    <mergeCell ref="O23:S23"/>
    <mergeCell ref="T20:T22"/>
    <mergeCell ref="U20:U22"/>
    <mergeCell ref="B9:W9"/>
    <mergeCell ref="B14:E14"/>
    <mergeCell ref="F14:I14"/>
    <mergeCell ref="J14:N14"/>
    <mergeCell ref="O14:S14"/>
    <mergeCell ref="B15:U15"/>
    <mergeCell ref="V15:V18"/>
    <mergeCell ref="C16:H16"/>
    <mergeCell ref="J16:O16"/>
    <mergeCell ref="Q16:U16"/>
    <mergeCell ref="C17:H17"/>
    <mergeCell ref="A10:A18"/>
    <mergeCell ref="B10:S10"/>
    <mergeCell ref="U10:V10"/>
    <mergeCell ref="B11:I11"/>
    <mergeCell ref="J11:S11"/>
    <mergeCell ref="T11:T13"/>
    <mergeCell ref="U11:U13"/>
    <mergeCell ref="V11:V13"/>
    <mergeCell ref="W11:W18"/>
    <mergeCell ref="B12:E12"/>
    <mergeCell ref="F12:I12"/>
    <mergeCell ref="J12:N12"/>
    <mergeCell ref="O12:S12"/>
    <mergeCell ref="B13:E13"/>
    <mergeCell ref="F13:I13"/>
    <mergeCell ref="J13:N13"/>
    <mergeCell ref="O13:S13"/>
    <mergeCell ref="A5:A8"/>
    <mergeCell ref="B5:G5"/>
    <mergeCell ref="I5:J5"/>
    <mergeCell ref="K5:L5"/>
    <mergeCell ref="M5:S5"/>
    <mergeCell ref="B6:G6"/>
    <mergeCell ref="I6:J6"/>
    <mergeCell ref="M6:O6"/>
    <mergeCell ref="Q6:R6"/>
    <mergeCell ref="B7:G7"/>
    <mergeCell ref="I7:J7"/>
    <mergeCell ref="M7:O7"/>
    <mergeCell ref="Q7:R7"/>
    <mergeCell ref="B8:G8"/>
    <mergeCell ref="I8:J8"/>
    <mergeCell ref="M8:O8"/>
    <mergeCell ref="Q8:R8"/>
    <mergeCell ref="A1:S1"/>
    <mergeCell ref="T1:U1"/>
    <mergeCell ref="V1:W1"/>
    <mergeCell ref="A2:W2"/>
    <mergeCell ref="A3:A4"/>
    <mergeCell ref="B3:I3"/>
    <mergeCell ref="J3:S3"/>
    <mergeCell ref="T3:W3"/>
    <mergeCell ref="B4:I4"/>
    <mergeCell ref="J4:S4"/>
    <mergeCell ref="T4:W4"/>
  </mergeCells>
  <phoneticPr fontId="4" type="noConversion"/>
  <dataValidations count="1">
    <dataValidation type="whole" allowBlank="1" showInputMessage="1" showErrorMessage="1" sqref="W11:W18" xr:uid="{53288AEC-6323-4DD9-9AE7-1631B1D8C61D}">
      <formula1>0</formula1>
      <formula2>7</formula2>
    </dataValidation>
  </dataValidations>
  <printOptions horizontalCentered="1"/>
  <pageMargins left="0.39370078740157483" right="0.39370078740157483" top="0.59055118110236227" bottom="0.59055118110236227" header="0.59055118110236227" footer="0.3937007874015748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45</xdr:row>
                    <xdr:rowOff>9525</xdr:rowOff>
                  </from>
                  <to>
                    <xdr:col>2</xdr:col>
                    <xdr:colOff>190500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44</xdr:row>
                    <xdr:rowOff>0</xdr:rowOff>
                  </from>
                  <to>
                    <xdr:col>2</xdr:col>
                    <xdr:colOff>190500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6" name="Check Box 3">
              <controlPr defaultSize="0" autoFill="0" autoLine="0" autoPict="0">
                <anchor moveWithCells="1">
                  <from>
                    <xdr:col>1</xdr:col>
                    <xdr:colOff>200025</xdr:colOff>
                    <xdr:row>56</xdr:row>
                    <xdr:rowOff>38100</xdr:rowOff>
                  </from>
                  <to>
                    <xdr:col>2</xdr:col>
                    <xdr:colOff>200025</xdr:colOff>
                    <xdr:row>56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7" name="Check Box 4">
              <controlPr defaultSize="0" autoFill="0" autoLine="0" autoPict="0">
                <anchor moveWithCells="1">
                  <from>
                    <xdr:col>1</xdr:col>
                    <xdr:colOff>200025</xdr:colOff>
                    <xdr:row>55</xdr:row>
                    <xdr:rowOff>19050</xdr:rowOff>
                  </from>
                  <to>
                    <xdr:col>2</xdr:col>
                    <xdr:colOff>200025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8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19050</xdr:rowOff>
                  </from>
                  <to>
                    <xdr:col>2</xdr:col>
                    <xdr:colOff>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9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19050</xdr:rowOff>
                  </from>
                  <to>
                    <xdr:col>2</xdr:col>
                    <xdr:colOff>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10" name="Check Box 7">
              <controlPr defaultSize="0" autoFill="0" autoLine="0" autoPict="0">
                <anchor moveWithCells="1">
                  <from>
                    <xdr:col>8</xdr:col>
                    <xdr:colOff>0</xdr:colOff>
                    <xdr:row>17</xdr:row>
                    <xdr:rowOff>0</xdr:rowOff>
                  </from>
                  <to>
                    <xdr:col>9</xdr:col>
                    <xdr:colOff>19050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2" r:id="rId11" name="Check Box 8">
              <controlPr defaultSize="0" autoFill="0" autoLine="0" autoPict="0">
                <anchor moveWithCells="1">
                  <from>
                    <xdr:col>8</xdr:col>
                    <xdr:colOff>0</xdr:colOff>
                    <xdr:row>15</xdr:row>
                    <xdr:rowOff>19050</xdr:rowOff>
                  </from>
                  <to>
                    <xdr:col>9</xdr:col>
                    <xdr:colOff>19050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3" r:id="rId12" name="Check Box 9">
              <controlPr defaultSize="0" autoFill="0" autoLine="0" autoPict="0">
                <anchor moveWithCells="1">
                  <from>
                    <xdr:col>8</xdr:col>
                    <xdr:colOff>0</xdr:colOff>
                    <xdr:row>16</xdr:row>
                    <xdr:rowOff>19050</xdr:rowOff>
                  </from>
                  <to>
                    <xdr:col>9</xdr:col>
                    <xdr:colOff>19050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4" r:id="rId13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9525</xdr:rowOff>
                  </from>
                  <to>
                    <xdr:col>2</xdr:col>
                    <xdr:colOff>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5" r:id="rId14" name="Check Box 11">
              <controlPr defaultSize="0" autoFill="0" autoLine="0" autoPict="0">
                <anchor moveWithCells="1">
                  <from>
                    <xdr:col>15</xdr:col>
                    <xdr:colOff>0</xdr:colOff>
                    <xdr:row>15</xdr:row>
                    <xdr:rowOff>19050</xdr:rowOff>
                  </from>
                  <to>
                    <xdr:col>16</xdr:col>
                    <xdr:colOff>9525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6" r:id="rId15" name="Check Box 12">
              <controlPr defaultSize="0" autoFill="0" autoLine="0" autoPict="0">
                <anchor moveWithCells="1">
                  <from>
                    <xdr:col>15</xdr:col>
                    <xdr:colOff>0</xdr:colOff>
                    <xdr:row>16</xdr:row>
                    <xdr:rowOff>19050</xdr:rowOff>
                  </from>
                  <to>
                    <xdr:col>16</xdr:col>
                    <xdr:colOff>9525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7" r:id="rId16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19050</xdr:rowOff>
                  </from>
                  <to>
                    <xdr:col>2</xdr:col>
                    <xdr:colOff>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8" r:id="rId17" name="Check Box 14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19050</xdr:rowOff>
                  </from>
                  <to>
                    <xdr:col>2</xdr:col>
                    <xdr:colOff>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9" r:id="rId18" name="Check Box 15">
              <controlPr defaultSize="0" autoFill="0" autoLine="0" autoPict="0">
                <anchor moveWithCells="1">
                  <from>
                    <xdr:col>8</xdr:col>
                    <xdr:colOff>0</xdr:colOff>
                    <xdr:row>24</xdr:row>
                    <xdr:rowOff>19050</xdr:rowOff>
                  </from>
                  <to>
                    <xdr:col>9</xdr:col>
                    <xdr:colOff>19050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0" r:id="rId19" name="Check Box 16">
              <controlPr defaultSize="0" autoFill="0" autoLine="0" autoPict="0">
                <anchor moveWithCells="1">
                  <from>
                    <xdr:col>8</xdr:col>
                    <xdr:colOff>0</xdr:colOff>
                    <xdr:row>25</xdr:row>
                    <xdr:rowOff>19050</xdr:rowOff>
                  </from>
                  <to>
                    <xdr:col>9</xdr:col>
                    <xdr:colOff>19050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1" r:id="rId20" name="Check Box 17">
              <controlPr defaultSize="0" autoFill="0" autoLine="0" autoPict="0">
                <anchor moveWithCells="1">
                  <from>
                    <xdr:col>15</xdr:col>
                    <xdr:colOff>0</xdr:colOff>
                    <xdr:row>24</xdr:row>
                    <xdr:rowOff>19050</xdr:rowOff>
                  </from>
                  <to>
                    <xdr:col>16</xdr:col>
                    <xdr:colOff>9525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2" r:id="rId21" name="Check Box 18">
              <controlPr defaultSize="0" autoFill="0" autoLine="0" autoPict="0">
                <anchor moveWithCells="1">
                  <from>
                    <xdr:col>15</xdr:col>
                    <xdr:colOff>0</xdr:colOff>
                    <xdr:row>25</xdr:row>
                    <xdr:rowOff>19050</xdr:rowOff>
                  </from>
                  <to>
                    <xdr:col>16</xdr:col>
                    <xdr:colOff>9525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3" r:id="rId22" name="Check Box 19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19050</xdr:rowOff>
                  </from>
                  <to>
                    <xdr:col>2</xdr:col>
                    <xdr:colOff>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4" r:id="rId23" name="Check Box 20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19050</xdr:rowOff>
                  </from>
                  <to>
                    <xdr:col>2</xdr:col>
                    <xdr:colOff>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5" r:id="rId24" name="Check Box 21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19050</xdr:rowOff>
                  </from>
                  <to>
                    <xdr:col>2</xdr:col>
                    <xdr:colOff>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6" r:id="rId25" name="Check Box 22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19050</xdr:rowOff>
                  </from>
                  <to>
                    <xdr:col>2</xdr:col>
                    <xdr:colOff>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7" r:id="rId26" name="Check Box 23">
              <controlPr defaultSize="0" autoFill="0" autoLine="0" autoPict="0">
                <anchor moveWithCells="1">
                  <from>
                    <xdr:col>8</xdr:col>
                    <xdr:colOff>0</xdr:colOff>
                    <xdr:row>32</xdr:row>
                    <xdr:rowOff>19050</xdr:rowOff>
                  </from>
                  <to>
                    <xdr:col>9</xdr:col>
                    <xdr:colOff>19050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8" r:id="rId27" name="Check Box 24">
              <controlPr defaultSize="0" autoFill="0" autoLine="0" autoPict="0">
                <anchor moveWithCells="1">
                  <from>
                    <xdr:col>8</xdr:col>
                    <xdr:colOff>0</xdr:colOff>
                    <xdr:row>33</xdr:row>
                    <xdr:rowOff>19050</xdr:rowOff>
                  </from>
                  <to>
                    <xdr:col>9</xdr:col>
                    <xdr:colOff>19050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9" r:id="rId28" name="Check Box 25">
              <controlPr defaultSize="0" autoFill="0" autoLine="0" autoPict="0">
                <anchor moveWithCells="1">
                  <from>
                    <xdr:col>8</xdr:col>
                    <xdr:colOff>0</xdr:colOff>
                    <xdr:row>34</xdr:row>
                    <xdr:rowOff>19050</xdr:rowOff>
                  </from>
                  <to>
                    <xdr:col>9</xdr:col>
                    <xdr:colOff>19050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0" r:id="rId29" name="Check Box 26">
              <controlPr defaultSize="0" autoFill="0" autoLine="0" autoPict="0">
                <anchor moveWithCells="1">
                  <from>
                    <xdr:col>8</xdr:col>
                    <xdr:colOff>0</xdr:colOff>
                    <xdr:row>35</xdr:row>
                    <xdr:rowOff>19050</xdr:rowOff>
                  </from>
                  <to>
                    <xdr:col>9</xdr:col>
                    <xdr:colOff>19050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1" r:id="rId30" name="Check Box 27">
              <controlPr defaultSize="0" autoFill="0" autoLine="0" autoPict="0">
                <anchor moveWithCells="1">
                  <from>
                    <xdr:col>14</xdr:col>
                    <xdr:colOff>0</xdr:colOff>
                    <xdr:row>32</xdr:row>
                    <xdr:rowOff>19050</xdr:rowOff>
                  </from>
                  <to>
                    <xdr:col>15</xdr:col>
                    <xdr:colOff>19050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2" r:id="rId31" name="Check Box 28">
              <controlPr defaultSize="0" autoFill="0" autoLine="0" autoPict="0">
                <anchor moveWithCells="1">
                  <from>
                    <xdr:col>14</xdr:col>
                    <xdr:colOff>0</xdr:colOff>
                    <xdr:row>34</xdr:row>
                    <xdr:rowOff>19050</xdr:rowOff>
                  </from>
                  <to>
                    <xdr:col>15</xdr:col>
                    <xdr:colOff>19050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3" r:id="rId32" name="Check Box 29">
              <controlPr defaultSize="0" autoFill="0" autoLine="0" autoPict="0">
                <anchor moveWithCells="1">
                  <from>
                    <xdr:col>14</xdr:col>
                    <xdr:colOff>0</xdr:colOff>
                    <xdr:row>33</xdr:row>
                    <xdr:rowOff>19050</xdr:rowOff>
                  </from>
                  <to>
                    <xdr:col>15</xdr:col>
                    <xdr:colOff>19050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4" r:id="rId33" name="Check Box 30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19050</xdr:rowOff>
                  </from>
                  <to>
                    <xdr:col>2</xdr:col>
                    <xdr:colOff>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5" r:id="rId34" name="Check Box 31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19050</xdr:rowOff>
                  </from>
                  <to>
                    <xdr:col>2</xdr:col>
                    <xdr:colOff>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6" r:id="rId35" name="Check Box 32">
              <controlPr defaultSize="0" autoFill="0" autoLine="0" autoPict="0">
                <anchor moveWithCells="1">
                  <from>
                    <xdr:col>13</xdr:col>
                    <xdr:colOff>57150</xdr:colOff>
                    <xdr:row>42</xdr:row>
                    <xdr:rowOff>19050</xdr:rowOff>
                  </from>
                  <to>
                    <xdr:col>14</xdr:col>
                    <xdr:colOff>9525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7" r:id="rId36" name="Check Box 33">
              <controlPr defaultSize="0" autoFill="0" autoLine="0" autoPict="0">
                <anchor moveWithCells="1">
                  <from>
                    <xdr:col>13</xdr:col>
                    <xdr:colOff>57150</xdr:colOff>
                    <xdr:row>43</xdr:row>
                    <xdr:rowOff>19050</xdr:rowOff>
                  </from>
                  <to>
                    <xdr:col>14</xdr:col>
                    <xdr:colOff>9525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8" r:id="rId37" name="Check Box 34">
              <controlPr defaultSize="0" autoFill="0" autoLine="0" autoPict="0">
                <anchor moveWithCells="1">
                  <from>
                    <xdr:col>1</xdr:col>
                    <xdr:colOff>0</xdr:colOff>
                    <xdr:row>52</xdr:row>
                    <xdr:rowOff>19050</xdr:rowOff>
                  </from>
                  <to>
                    <xdr:col>2</xdr:col>
                    <xdr:colOff>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9" r:id="rId38" name="Check Box 35">
              <controlPr defaultSize="0" autoFill="0" autoLine="0" autoPict="0">
                <anchor moveWithCells="1">
                  <from>
                    <xdr:col>1</xdr:col>
                    <xdr:colOff>0</xdr:colOff>
                    <xdr:row>53</xdr:row>
                    <xdr:rowOff>19050</xdr:rowOff>
                  </from>
                  <to>
                    <xdr:col>2</xdr:col>
                    <xdr:colOff>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0" r:id="rId39" name="Check Box 36">
              <controlPr defaultSize="0" autoFill="0" autoLine="0" autoPict="0">
                <anchor moveWithCells="1">
                  <from>
                    <xdr:col>1</xdr:col>
                    <xdr:colOff>0</xdr:colOff>
                    <xdr:row>54</xdr:row>
                    <xdr:rowOff>19050</xdr:rowOff>
                  </from>
                  <to>
                    <xdr:col>2</xdr:col>
                    <xdr:colOff>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1" r:id="rId40" name="Check Box 37">
              <controlPr defaultSize="0" autoFill="0" autoLine="0" autoPict="0">
                <anchor moveWithCells="1">
                  <from>
                    <xdr:col>8</xdr:col>
                    <xdr:colOff>180975</xdr:colOff>
                    <xdr:row>52</xdr:row>
                    <xdr:rowOff>19050</xdr:rowOff>
                  </from>
                  <to>
                    <xdr:col>10</xdr:col>
                    <xdr:colOff>9525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2" r:id="rId41" name="Check Box 38">
              <controlPr defaultSize="0" autoFill="0" autoLine="0" autoPict="0">
                <anchor moveWithCells="1">
                  <from>
                    <xdr:col>8</xdr:col>
                    <xdr:colOff>180975</xdr:colOff>
                    <xdr:row>53</xdr:row>
                    <xdr:rowOff>19050</xdr:rowOff>
                  </from>
                  <to>
                    <xdr:col>10</xdr:col>
                    <xdr:colOff>9525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3" r:id="rId42" name="Check Box 39">
              <controlPr defaultSize="0" autoFill="0" autoLine="0" autoPict="0">
                <anchor moveWithCells="1">
                  <from>
                    <xdr:col>8</xdr:col>
                    <xdr:colOff>180975</xdr:colOff>
                    <xdr:row>54</xdr:row>
                    <xdr:rowOff>19050</xdr:rowOff>
                  </from>
                  <to>
                    <xdr:col>10</xdr:col>
                    <xdr:colOff>9525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4" r:id="rId43" name="Check Box 40">
              <controlPr defaultSize="0" autoFill="0" autoLine="0" autoPict="0">
                <anchor moveWithCells="1">
                  <from>
                    <xdr:col>16</xdr:col>
                    <xdr:colOff>180975</xdr:colOff>
                    <xdr:row>53</xdr:row>
                    <xdr:rowOff>19050</xdr:rowOff>
                  </from>
                  <to>
                    <xdr:col>18</xdr:col>
                    <xdr:colOff>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5" r:id="rId44" name="Check Box 41">
              <controlPr defaultSize="0" autoFill="0" autoLine="0" autoPict="0">
                <anchor moveWithCells="1">
                  <from>
                    <xdr:col>16</xdr:col>
                    <xdr:colOff>180975</xdr:colOff>
                    <xdr:row>54</xdr:row>
                    <xdr:rowOff>19050</xdr:rowOff>
                  </from>
                  <to>
                    <xdr:col>18</xdr:col>
                    <xdr:colOff>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6" r:id="rId45" name="Check Box 42">
              <controlPr defaultSize="0" autoFill="0" autoLine="0" autoPict="0">
                <anchor moveWithCells="1">
                  <from>
                    <xdr:col>1</xdr:col>
                    <xdr:colOff>0</xdr:colOff>
                    <xdr:row>63</xdr:row>
                    <xdr:rowOff>19050</xdr:rowOff>
                  </from>
                  <to>
                    <xdr:col>2</xdr:col>
                    <xdr:colOff>0</xdr:colOff>
                    <xdr:row>63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7" r:id="rId46" name="Check Box 43">
              <controlPr defaultSize="0" autoFill="0" autoLine="0" autoPict="0">
                <anchor moveWithCells="1">
                  <from>
                    <xdr:col>1</xdr:col>
                    <xdr:colOff>0</xdr:colOff>
                    <xdr:row>64</xdr:row>
                    <xdr:rowOff>19050</xdr:rowOff>
                  </from>
                  <to>
                    <xdr:col>2</xdr:col>
                    <xdr:colOff>0</xdr:colOff>
                    <xdr:row>64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8" r:id="rId47" name="Check Box 44">
              <controlPr defaultSize="0" autoFill="0" autoLine="0" autoPict="0">
                <anchor moveWithCells="1">
                  <from>
                    <xdr:col>1</xdr:col>
                    <xdr:colOff>0</xdr:colOff>
                    <xdr:row>65</xdr:row>
                    <xdr:rowOff>19050</xdr:rowOff>
                  </from>
                  <to>
                    <xdr:col>2</xdr:col>
                    <xdr:colOff>0</xdr:colOff>
                    <xdr:row>65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9" r:id="rId48" name="Check Box 45">
              <controlPr defaultSize="0" autoFill="0" autoLine="0" autoPict="0">
                <anchor moveWithCells="1">
                  <from>
                    <xdr:col>10</xdr:col>
                    <xdr:colOff>180975</xdr:colOff>
                    <xdr:row>63</xdr:row>
                    <xdr:rowOff>28575</xdr:rowOff>
                  </from>
                  <to>
                    <xdr:col>11</xdr:col>
                    <xdr:colOff>190500</xdr:colOff>
                    <xdr:row>63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0" r:id="rId49" name="Check Box 46">
              <controlPr defaultSize="0" autoFill="0" autoLine="0" autoPict="0">
                <anchor moveWithCells="1">
                  <from>
                    <xdr:col>10</xdr:col>
                    <xdr:colOff>180975</xdr:colOff>
                    <xdr:row>65</xdr:row>
                    <xdr:rowOff>28575</xdr:rowOff>
                  </from>
                  <to>
                    <xdr:col>11</xdr:col>
                    <xdr:colOff>190500</xdr:colOff>
                    <xdr:row>65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1" r:id="rId50" name="Check Box 47">
              <controlPr defaultSize="0" autoFill="0" autoLine="0" autoPict="0">
                <anchor moveWithCells="1">
                  <from>
                    <xdr:col>10</xdr:col>
                    <xdr:colOff>180975</xdr:colOff>
                    <xdr:row>64</xdr:row>
                    <xdr:rowOff>19050</xdr:rowOff>
                  </from>
                  <to>
                    <xdr:col>11</xdr:col>
                    <xdr:colOff>190500</xdr:colOff>
                    <xdr:row>64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2" r:id="rId51" name="Check Box 48">
              <controlPr defaultSize="0" autoFill="0" autoLine="0" autoPict="0">
                <anchor moveWithCells="1">
                  <from>
                    <xdr:col>17</xdr:col>
                    <xdr:colOff>123825</xdr:colOff>
                    <xdr:row>64</xdr:row>
                    <xdr:rowOff>19050</xdr:rowOff>
                  </from>
                  <to>
                    <xdr:col>19</xdr:col>
                    <xdr:colOff>0</xdr:colOff>
                    <xdr:row>64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AE5D-874A-4E45-B3AF-B157664906F5}">
  <dimension ref="A1:AD33"/>
  <sheetViews>
    <sheetView zoomScaleNormal="100" workbookViewId="0">
      <selection activeCell="H27" sqref="H27"/>
    </sheetView>
  </sheetViews>
  <sheetFormatPr defaultRowHeight="19.899999999999999" customHeight="1"/>
  <cols>
    <col min="1" max="1" width="9.75" style="33" customWidth="1"/>
    <col min="2" max="13" width="5.75" style="33" customWidth="1"/>
    <col min="14" max="14" width="9.75" style="33" hidden="1" customWidth="1"/>
    <col min="15" max="19" width="9" style="33" hidden="1" customWidth="1"/>
    <col min="20" max="20" width="10.75" style="33" hidden="1" customWidth="1"/>
    <col min="21" max="23" width="9" style="33" hidden="1" customWidth="1"/>
    <col min="24" max="24" width="7.875" style="33" hidden="1" customWidth="1"/>
    <col min="25" max="26" width="8.25" style="33" hidden="1" customWidth="1"/>
    <col min="27" max="28" width="10" style="33" hidden="1" customWidth="1"/>
    <col min="29" max="29" width="8" style="33" hidden="1" customWidth="1"/>
    <col min="30" max="30" width="7.875" style="33" hidden="1" customWidth="1"/>
    <col min="31" max="16384" width="9" style="33"/>
  </cols>
  <sheetData>
    <row r="1" spans="1:30" ht="19.899999999999999" customHeight="1" thickBot="1">
      <c r="A1" s="395"/>
      <c r="B1" s="396"/>
      <c r="C1" s="396"/>
      <c r="D1" s="396"/>
      <c r="E1" s="396"/>
      <c r="F1" s="396"/>
      <c r="G1" s="397"/>
      <c r="H1" s="398" t="s">
        <v>0</v>
      </c>
      <c r="I1" s="399"/>
      <c r="J1" s="399"/>
      <c r="K1" s="400"/>
      <c r="L1" s="401" t="s">
        <v>235</v>
      </c>
      <c r="M1" s="402"/>
    </row>
    <row r="2" spans="1:30" ht="19.899999999999999" customHeight="1">
      <c r="A2" s="403" t="s">
        <v>236</v>
      </c>
      <c r="B2" s="404"/>
      <c r="C2" s="404"/>
      <c r="D2" s="404"/>
      <c r="E2" s="404"/>
      <c r="F2" s="404"/>
      <c r="G2" s="404"/>
      <c r="H2" s="405"/>
      <c r="I2" s="405"/>
      <c r="J2" s="405"/>
      <c r="K2" s="405"/>
      <c r="L2" s="405"/>
      <c r="M2" s="406"/>
    </row>
    <row r="3" spans="1:30" ht="19.899999999999999" customHeight="1">
      <c r="A3" s="407" t="s">
        <v>2</v>
      </c>
      <c r="B3" s="409" t="s">
        <v>3</v>
      </c>
      <c r="C3" s="409"/>
      <c r="D3" s="409"/>
      <c r="E3" s="409" t="s">
        <v>154</v>
      </c>
      <c r="F3" s="409"/>
      <c r="G3" s="409"/>
      <c r="H3" s="409" t="s">
        <v>252</v>
      </c>
      <c r="I3" s="409"/>
      <c r="J3" s="409"/>
      <c r="K3" s="409"/>
      <c r="L3" s="409"/>
      <c r="M3" s="410"/>
    </row>
    <row r="4" spans="1:30" ht="19.899999999999999" customHeight="1" thickBot="1">
      <c r="A4" s="408"/>
      <c r="B4" s="411">
        <f>문서번호1!C8</f>
        <v>44935</v>
      </c>
      <c r="C4" s="390"/>
      <c r="D4" s="412"/>
      <c r="E4" s="389" t="str">
        <f>문서번호1!T8</f>
        <v>CTB</v>
      </c>
      <c r="F4" s="390"/>
      <c r="G4" s="412"/>
      <c r="H4" s="389" t="str">
        <f>문서번호1!B18</f>
        <v>작업2</v>
      </c>
      <c r="I4" s="390"/>
      <c r="J4" s="390"/>
      <c r="K4" s="390"/>
      <c r="L4" s="390"/>
      <c r="M4" s="391"/>
    </row>
    <row r="5" spans="1:30" ht="19.899999999999999" customHeight="1" thickBot="1">
      <c r="A5" s="392"/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4"/>
    </row>
    <row r="6" spans="1:30" ht="19.899999999999999" customHeight="1">
      <c r="A6" s="368" t="s">
        <v>237</v>
      </c>
      <c r="B6" s="98"/>
      <c r="C6" s="386" t="s">
        <v>193</v>
      </c>
      <c r="D6" s="387"/>
      <c r="E6" s="387"/>
      <c r="F6" s="387"/>
      <c r="G6" s="387"/>
      <c r="H6" s="387"/>
      <c r="I6" s="387"/>
      <c r="J6" s="387"/>
      <c r="K6" s="387"/>
      <c r="L6" s="387"/>
      <c r="M6" s="388"/>
      <c r="N6" s="33" t="b">
        <v>0</v>
      </c>
      <c r="P6" s="33" t="s">
        <v>191</v>
      </c>
      <c r="Q6" s="33" t="s">
        <v>192</v>
      </c>
      <c r="R6" s="33" t="s">
        <v>194</v>
      </c>
      <c r="S6" s="33" t="s">
        <v>195</v>
      </c>
      <c r="T6" s="33" t="s">
        <v>196</v>
      </c>
      <c r="U6" s="33" t="s">
        <v>197</v>
      </c>
      <c r="V6" s="33" t="s">
        <v>198</v>
      </c>
      <c r="W6" s="33" t="s">
        <v>199</v>
      </c>
      <c r="X6" s="33" t="s">
        <v>200</v>
      </c>
      <c r="Y6" s="33" t="s">
        <v>201</v>
      </c>
      <c r="AB6" s="33" t="s">
        <v>204</v>
      </c>
      <c r="AC6" s="33" t="s">
        <v>205</v>
      </c>
    </row>
    <row r="7" spans="1:30" ht="19.899999999999999" customHeight="1">
      <c r="A7" s="369"/>
      <c r="B7" s="87"/>
      <c r="C7" s="376" t="s">
        <v>203</v>
      </c>
      <c r="D7" s="374"/>
      <c r="E7" s="374"/>
      <c r="F7" s="374"/>
      <c r="G7" s="374"/>
      <c r="H7" s="374"/>
      <c r="I7" s="374"/>
      <c r="J7" s="374"/>
      <c r="K7" s="374"/>
      <c r="L7" s="374"/>
      <c r="M7" s="377"/>
      <c r="N7" s="33" t="b">
        <v>0</v>
      </c>
      <c r="P7" s="33" cm="1">
        <f t="array" ref="P7">IF(AND(('문서번호2(2)'!D30&lt;=20),('문서번호2(2)'!G30&lt;=20)),1,IF(OR(('문서번호2(2)'!G30&gt;20), AND(('문서번호2(2)'!D30&gt;20),('문서번호2(2)'!D30&lt;=45))),2,IF(AND(('문서번호2(2)'!D30&gt;45),('문서번호2(2)'!D30&lt;=90)),3,IF(('문서번호2(2)'!D30&gt;90),4,ER))))</f>
        <v>1</v>
      </c>
      <c r="Q7" s="33">
        <f>IF(('문서번호2(2)'!J30&gt;30),1,0)</f>
        <v>0</v>
      </c>
      <c r="R7" s="33">
        <f>IF(AND(('문서번호2(2)'!B22&gt;60),('문서번호2(2)'!B22&lt;100)),1,2)</f>
        <v>2</v>
      </c>
      <c r="S7" s="33">
        <f>IF('문서번호2(2)'!J30&gt;30,1,0)</f>
        <v>0</v>
      </c>
      <c r="T7" s="33">
        <f>IF(AND(('문서번호2(2)'!B13=0),('문서번호2(2)'!F13=0)),1,IF(AND(('문서번호2(2)'!B13&lt;15),('문서번호2(2)'!F13&lt;15)),2,3))</f>
        <v>1</v>
      </c>
      <c r="U7" s="33">
        <f>IF(OR(('문서번호2(2)'!J13&gt;5),('문서번호2(2)'!O13&gt;10)),1,0)</f>
        <v>0</v>
      </c>
      <c r="V7" s="33">
        <f>IF('문서번호2(2)'!D40=0,1,IF('문서번호2(2)'!D40&lt;20,2,IF('문서번호2(2)'!D40&lt;60,3,4)))</f>
        <v>1</v>
      </c>
      <c r="W7" s="33">
        <f>IF('문서번호2(2)'!J40&gt;10,1,0)</f>
        <v>0</v>
      </c>
      <c r="X7" s="33">
        <f>IF('문서번호2(2)'!B50=0,1,IF('문서번호2(2)'!B50&lt;20,2,IF('문서번호2(2)'!B50&lt;60,3,4)))</f>
        <v>1</v>
      </c>
      <c r="Y7" s="33">
        <f>IF('문서번호2(2)'!J50&gt;10,1,0)</f>
        <v>0</v>
      </c>
      <c r="AB7" s="33" cm="1">
        <f t="array" ref="AB7">LOOKUP(1,1/((B14=RULA_A!$A$2:$A$145)*(C14=RULA_A!B2:B145)*(D14=RULA_A!C2:C145)*(E14=RULA_A!D2:D145)),RULA_A!E2:E145)</f>
        <v>2</v>
      </c>
      <c r="AC7" s="33" cm="1">
        <f t="array" ref="AC7">LOOKUP(1,1/((H14=RULA_B!A2:A73)*(I14=RULA_B!B2:B73)*(J14=RULA_B!C2:C73)),RULA_B!D2:D73)</f>
        <v>1</v>
      </c>
    </row>
    <row r="8" spans="1:30" ht="19.899999999999999" customHeight="1">
      <c r="A8" s="369"/>
      <c r="B8" s="94"/>
      <c r="C8" s="381" t="s">
        <v>232</v>
      </c>
      <c r="D8" s="382"/>
      <c r="E8" s="382"/>
      <c r="F8" s="382"/>
      <c r="G8" s="382"/>
      <c r="H8" s="382"/>
      <c r="I8" s="382"/>
      <c r="J8" s="382"/>
      <c r="K8" s="382"/>
      <c r="L8" s="382"/>
      <c r="M8" s="383"/>
      <c r="N8" s="33" t="b">
        <v>0</v>
      </c>
      <c r="Q8" s="33">
        <f>IF(('문서번호2(2)'!Y34=TRUE),1,0)</f>
        <v>0</v>
      </c>
      <c r="S8" s="33">
        <f>IF('문서번호2(2)'!L30&gt;30,1,0)</f>
        <v>0</v>
      </c>
      <c r="W8" s="33">
        <f>IF('문서번호2(2)'!O40&gt;10,1,0)</f>
        <v>0</v>
      </c>
      <c r="Y8" s="33">
        <f>IF('문서번호2(2)'!O50&gt;10,1,0)</f>
        <v>0</v>
      </c>
      <c r="AB8" s="33">
        <f>IF(AB7+F14+G14&gt;12,12,AB7+F14+G14)</f>
        <v>2</v>
      </c>
      <c r="AC8" s="33">
        <f>IF(AC7+K14+L14&gt;12,12,AC7+K14+L14)</f>
        <v>1</v>
      </c>
    </row>
    <row r="9" spans="1:30" ht="19.899999999999999" customHeight="1">
      <c r="A9" s="369"/>
      <c r="B9" s="94"/>
      <c r="C9" s="376" t="s">
        <v>220</v>
      </c>
      <c r="D9" s="374"/>
      <c r="E9" s="374"/>
      <c r="F9" s="374"/>
      <c r="G9" s="374"/>
      <c r="H9" s="374"/>
      <c r="I9" s="374"/>
      <c r="J9" s="374"/>
      <c r="K9" s="374"/>
      <c r="L9" s="374"/>
      <c r="M9" s="377"/>
      <c r="N9" s="33" t="b">
        <v>0</v>
      </c>
      <c r="Q9" s="33">
        <f>IF(N6=TRUE,-1,0)</f>
        <v>0</v>
      </c>
    </row>
    <row r="10" spans="1:30" ht="19.899999999999999" customHeight="1">
      <c r="A10" s="369"/>
      <c r="B10" s="94" t="s">
        <v>217</v>
      </c>
      <c r="C10" s="376" t="s">
        <v>249</v>
      </c>
      <c r="D10" s="374"/>
      <c r="E10" s="374"/>
      <c r="F10" s="374"/>
      <c r="G10" s="374"/>
      <c r="H10" s="374"/>
      <c r="I10" s="374"/>
      <c r="J10" s="374"/>
      <c r="K10" s="374"/>
      <c r="L10" s="374"/>
      <c r="M10" s="377"/>
      <c r="N10" s="33" t="s">
        <v>250</v>
      </c>
    </row>
    <row r="11" spans="1:30" ht="20.25" customHeight="1">
      <c r="A11" s="369"/>
      <c r="B11" s="99" t="s">
        <v>212</v>
      </c>
      <c r="C11" s="376" t="s">
        <v>251</v>
      </c>
      <c r="D11" s="374"/>
      <c r="E11" s="374"/>
      <c r="F11" s="374"/>
      <c r="G11" s="374"/>
      <c r="H11" s="374"/>
      <c r="I11" s="374"/>
      <c r="J11" s="374"/>
      <c r="K11" s="374"/>
      <c r="L11" s="374"/>
      <c r="M11" s="377"/>
      <c r="N11" s="33" t="s">
        <v>218</v>
      </c>
      <c r="P11" s="33" t="s">
        <v>215</v>
      </c>
      <c r="Q11" s="33" t="s">
        <v>216</v>
      </c>
      <c r="R11" s="33" t="s">
        <v>198</v>
      </c>
      <c r="S11" s="33" t="s">
        <v>202</v>
      </c>
      <c r="T11" s="33" t="s">
        <v>209</v>
      </c>
      <c r="U11" s="33" t="s">
        <v>221</v>
      </c>
      <c r="V11" s="33" t="s">
        <v>222</v>
      </c>
      <c r="W11" s="33" t="s">
        <v>223</v>
      </c>
      <c r="X11" s="33" t="s">
        <v>224</v>
      </c>
      <c r="Y11" s="33" t="s">
        <v>229</v>
      </c>
      <c r="AA11" s="33" t="s">
        <v>230</v>
      </c>
      <c r="AB11" s="33" t="s">
        <v>231</v>
      </c>
      <c r="AC11" s="33" t="s">
        <v>233</v>
      </c>
      <c r="AD11" s="33" t="s">
        <v>234</v>
      </c>
    </row>
    <row r="12" spans="1:30" ht="20.25" customHeight="1" thickBot="1">
      <c r="A12" s="370"/>
      <c r="B12" s="93" t="s">
        <v>186</v>
      </c>
      <c r="C12" s="92"/>
      <c r="D12" s="88" t="s">
        <v>241</v>
      </c>
      <c r="E12" s="371" t="s">
        <v>245</v>
      </c>
      <c r="F12" s="372"/>
      <c r="G12" s="373"/>
      <c r="H12" s="108" t="s">
        <v>242</v>
      </c>
      <c r="I12" s="108"/>
      <c r="J12" s="89" t="s">
        <v>243</v>
      </c>
      <c r="K12" s="109"/>
      <c r="L12" s="109" t="s">
        <v>244</v>
      </c>
      <c r="M12" s="90"/>
      <c r="N12" s="33" t="s">
        <v>219</v>
      </c>
      <c r="P12" s="33">
        <f>IF('문서번호2(2)'!B50=0,1,IF('문서번호2(2)'!B50&lt;20,2,IF('문서번호2(2)'!B50&lt;60,3,4)))</f>
        <v>1</v>
      </c>
      <c r="Q12" s="33">
        <f>IF('문서번호2(2)'!F50=0,1,IF('문서번호2(2)'!F50&lt;20,2,3))</f>
        <v>1</v>
      </c>
      <c r="R12" s="33">
        <f>IF(OR('문서번호2(2)'!D40&gt;=20,'문서번호2(2)'!G40&gt;=20),2,1)</f>
        <v>1</v>
      </c>
      <c r="S12" s="33">
        <f>IF(C10="0~30도 구부리기",0,IF(C10="30~60도 구부리기",1,2))</f>
        <v>0</v>
      </c>
      <c r="T12" s="33">
        <f>IF(C12&lt;5,0,IF(C12&lt;10,1,2))</f>
        <v>0</v>
      </c>
      <c r="U12" s="33">
        <f>IF(N9=TRUE,1,0)</f>
        <v>0</v>
      </c>
      <c r="V12" s="33">
        <f>IF('문서번호2(2)'!D30&lt;20,1,IF('문서번호2(2)'!D30&lt;45,2,IF('문서번호2(2)'!D30&lt;90,3,4)))</f>
        <v>1</v>
      </c>
      <c r="W12" s="33">
        <f>IF('문서번호2(2)'!G30&lt;20,1,2)</f>
        <v>1</v>
      </c>
      <c r="X12" s="33">
        <f>IF(('문서번호2(2)'!J31+'문서번호2(2)'!L31+'문서번호2(2)'!N31+'문서번호2(2)'!P31)&gt;=1,1,0)+'문서번호3(2)'!Q8+'문서번호3(2)'!Q9</f>
        <v>0</v>
      </c>
      <c r="Y12" s="33">
        <f>IF('문서번호2(2)'!U14+'문서번호2(2)'!U23+'문서번호2(2)'!U31+'문서번호2(2)'!U41+'문서번호2(2)'!U51+'문서번호2(2)'!U62&gt;0,1,0)</f>
        <v>0</v>
      </c>
      <c r="AA12" s="33">
        <f>IF('문서번호2(2)'!V14+'문서번호2(2)'!V23+'문서번호2(2)'!V31+'문서번호2(2)'!V41+'문서번호2(2)'!V51&gt;0,1,0)</f>
        <v>0</v>
      </c>
      <c r="AB12" s="33">
        <f>IF(N8=TRUE,1,0)</f>
        <v>0</v>
      </c>
      <c r="AC12" s="33" cm="1">
        <f t="array" ref="AC12">LOOKUP(1,1/((B17=REBA_A!A2:A61)*(C17=REBA_A!B2:B61)*(D17=REBA_A!C2:C61)),REBA_A!D2:D61)+E17</f>
        <v>1</v>
      </c>
      <c r="AD12" s="33" cm="1">
        <f t="array" ref="AD12">LOOKUP(1,1/((F17=REBA_B!A2:A61)*(G17=REBA_B!B2:B61)*(H17=REBA_B!C2:C61)),REBA_B!D2:D61)+I17</f>
        <v>1</v>
      </c>
    </row>
    <row r="13" spans="1:30" ht="19.899999999999999" customHeight="1" thickBot="1">
      <c r="A13" s="96"/>
      <c r="B13" s="102" t="s">
        <v>181</v>
      </c>
      <c r="C13" s="34" t="s">
        <v>182</v>
      </c>
      <c r="D13" s="34" t="s">
        <v>183</v>
      </c>
      <c r="E13" s="86" t="s">
        <v>184</v>
      </c>
      <c r="F13" s="34" t="s">
        <v>185</v>
      </c>
      <c r="G13" s="34" t="s">
        <v>186</v>
      </c>
      <c r="H13" s="35" t="s">
        <v>151</v>
      </c>
      <c r="I13" s="34" t="s">
        <v>187</v>
      </c>
      <c r="J13" s="35" t="s">
        <v>188</v>
      </c>
      <c r="K13" s="34" t="s">
        <v>185</v>
      </c>
      <c r="L13" s="34" t="s">
        <v>186</v>
      </c>
      <c r="M13" s="36" t="s">
        <v>189</v>
      </c>
      <c r="N13" s="33" t="s">
        <v>225</v>
      </c>
    </row>
    <row r="14" spans="1:30" ht="19.899999999999999" customHeight="1">
      <c r="A14" s="96" t="s">
        <v>238</v>
      </c>
      <c r="B14" s="111">
        <f>IF(P7+Q7+Q8+Q9&gt;6,6,P7+Q7+Q8+Q9)</f>
        <v>1</v>
      </c>
      <c r="C14" s="91">
        <f>IF(R7+S7+S8&gt;3,3,R7+S7+S8)</f>
        <v>2</v>
      </c>
      <c r="D14" s="91">
        <f>IF(T7+U7&gt;4,4,T7+U7)</f>
        <v>1</v>
      </c>
      <c r="E14" s="91">
        <f>IF(MAX('문서번호2(2)'!J22:S22)&lt;=90,1,2)</f>
        <v>1</v>
      </c>
      <c r="F14" s="91">
        <f>IF(('문서번호2(2)'!U14+'문서번호2(2)'!V14+'문서번호2(2)'!U23+'문서번호2(2)'!V23+'문서번호2(2)'!U31+'문서번호2(2)'!V31)&gt;0,1,0)</f>
        <v>0</v>
      </c>
      <c r="G14" s="91">
        <f>IF(C12&lt;2,0,IF((C12&gt;10),3,IF(AND((C12&lt;=10),('문서번호2(2)'!U23+'문서번호2(2)'!V23+'문서번호2(2)'!U31+'문서번호2(2)'!V31&gt;=1)),2,1)))</f>
        <v>0</v>
      </c>
      <c r="H14" s="91">
        <f>IF(V7+W7+W8&gt;6,6,V7+W7+W8)</f>
        <v>1</v>
      </c>
      <c r="I14" s="91">
        <f>IF(X7+Y7+Y8&gt;6,6,X7+Y7+Y8)</f>
        <v>1</v>
      </c>
      <c r="J14" s="91">
        <f>IF(N7=TRUE,2,1)</f>
        <v>1</v>
      </c>
      <c r="K14" s="91">
        <f>IF('문서번호2(2)'!U41+'문서번호2(2)'!V41+'문서번호2(2)'!U51+'문서번호2(2)'!V51+'문서번호2(2)'!U62&gt;0,1,0)</f>
        <v>0</v>
      </c>
      <c r="L14" s="91">
        <f>G14</f>
        <v>0</v>
      </c>
      <c r="M14" s="103">
        <f>INDEX('C+D'!B2:M13,MATCH(AB8,'C+D'!A2:A13,0),MATCH(AC8,'C+D'!B1:M1,0))</f>
        <v>2</v>
      </c>
      <c r="N14" s="33" t="s">
        <v>226</v>
      </c>
    </row>
    <row r="15" spans="1:30" ht="19.899999999999999" customHeight="1" thickBot="1">
      <c r="A15" s="97"/>
      <c r="B15" s="374" t="s">
        <v>190</v>
      </c>
      <c r="C15" s="374"/>
      <c r="D15" s="375"/>
      <c r="E15" s="376">
        <f>IF(M14&lt;3,1,IF(M14&lt;5,2,IF(M14&lt;7,3,4)))</f>
        <v>1</v>
      </c>
      <c r="F15" s="374"/>
      <c r="G15" s="375"/>
      <c r="H15" s="376" t="str">
        <f>IF(E15=1,"안전",IF(E15=2,"보통",IF(E15=3,"위험","고위험")))</f>
        <v>안전</v>
      </c>
      <c r="I15" s="374"/>
      <c r="J15" s="374"/>
      <c r="K15" s="374"/>
      <c r="L15" s="374"/>
      <c r="M15" s="377"/>
      <c r="N15" s="33" t="s">
        <v>227</v>
      </c>
    </row>
    <row r="16" spans="1:30" ht="19.899999999999999" customHeight="1" thickBot="1">
      <c r="A16" s="95"/>
      <c r="B16" s="104" t="s">
        <v>208</v>
      </c>
      <c r="C16" s="105" t="s">
        <v>151</v>
      </c>
      <c r="D16" s="105" t="s">
        <v>188</v>
      </c>
      <c r="E16" s="105" t="s">
        <v>209</v>
      </c>
      <c r="F16" s="105" t="s">
        <v>210</v>
      </c>
      <c r="G16" s="106" t="s">
        <v>211</v>
      </c>
      <c r="H16" s="105" t="s">
        <v>183</v>
      </c>
      <c r="I16" s="106" t="s">
        <v>212</v>
      </c>
      <c r="J16" s="378" t="s">
        <v>213</v>
      </c>
      <c r="K16" s="379"/>
      <c r="L16" s="378" t="s">
        <v>189</v>
      </c>
      <c r="M16" s="380"/>
      <c r="N16" s="33" t="s">
        <v>228</v>
      </c>
    </row>
    <row r="17" spans="1:13" ht="19.899999999999999" customHeight="1">
      <c r="A17" s="96" t="s">
        <v>239</v>
      </c>
      <c r="B17" s="111">
        <f>MAX(P12:Q12)+MAX(Y7:Y8)</f>
        <v>1</v>
      </c>
      <c r="C17" s="91">
        <f>R12+MAX(W7:W8)</f>
        <v>1</v>
      </c>
      <c r="D17" s="91">
        <f>J14+S12</f>
        <v>1</v>
      </c>
      <c r="E17" s="91">
        <f>T12+U12</f>
        <v>0</v>
      </c>
      <c r="F17" s="91">
        <f>MAX(V12:W12)+X12</f>
        <v>1</v>
      </c>
      <c r="G17" s="91">
        <f>R7</f>
        <v>2</v>
      </c>
      <c r="H17" s="91">
        <f>IF(OR('문서번호2(2)'!B13&gt;=15,'문서번호2(2)'!F13&gt;=15),2,1)+U7</f>
        <v>1</v>
      </c>
      <c r="I17" s="91">
        <f>IF(C11=N13,0,IF(C11=N14,1,IF(C11=N15,2,3)))</f>
        <v>0</v>
      </c>
      <c r="J17" s="384">
        <f>Y12+AA12+AB12</f>
        <v>0</v>
      </c>
      <c r="K17" s="384"/>
      <c r="L17" s="384">
        <f>INDEX('A+B'!B2:M13,MATCH(AC12,'A+B'!A2:A13,0),MATCH(AD12,'A+B'!B1:M1,0))+J17</f>
        <v>1</v>
      </c>
      <c r="M17" s="385"/>
    </row>
    <row r="18" spans="1:13" ht="19.899999999999999" customHeight="1" thickBot="1">
      <c r="A18" s="97"/>
      <c r="B18" s="374" t="s">
        <v>214</v>
      </c>
      <c r="C18" s="374"/>
      <c r="D18" s="375"/>
      <c r="E18" s="376">
        <f>IF(L17&lt;2,0,IF(L17&lt;4,1,IF(L17&lt;8,2,IF(L17&lt;11,3,4))))</f>
        <v>0</v>
      </c>
      <c r="F18" s="374"/>
      <c r="G18" s="375"/>
      <c r="H18" s="376" t="str">
        <f>IF(OR(E18=1,E18=0),"안전",IF(E18=2,"보통",IF(E18=3,"위험","고위험")))</f>
        <v>안전</v>
      </c>
      <c r="I18" s="374"/>
      <c r="J18" s="374"/>
      <c r="K18" s="374"/>
      <c r="L18" s="374"/>
      <c r="M18" s="377"/>
    </row>
    <row r="19" spans="1:13" ht="19.899999999999999" customHeight="1" thickBot="1">
      <c r="A19" s="101" t="s">
        <v>240</v>
      </c>
      <c r="B19" s="100" t="s">
        <v>242</v>
      </c>
      <c r="C19" s="364" t="str">
        <f>IF(I12=0,"없음",IF(I12&lt;9,"안전",IF(I12&lt;14.5,"보통",IF(I12&lt;23,"위험","고위험"))))</f>
        <v>없음</v>
      </c>
      <c r="D19" s="365"/>
      <c r="E19" s="366"/>
      <c r="F19" s="110" t="s">
        <v>243</v>
      </c>
      <c r="G19" s="364" t="str">
        <f>IF(K12=0,"없음",IF(K12&lt;5,"안전","위험"))</f>
        <v>없음</v>
      </c>
      <c r="H19" s="365"/>
      <c r="I19" s="366"/>
      <c r="J19" s="112" t="s">
        <v>244</v>
      </c>
      <c r="K19" s="364" t="str">
        <f>IF(M12=0,"없음",IF(M12&lt;1,"안전","위험"))</f>
        <v>없음</v>
      </c>
      <c r="L19" s="365"/>
      <c r="M19" s="367"/>
    </row>
    <row r="20" spans="1:13" ht="21.75" customHeight="1"/>
    <row r="21" spans="1:13" ht="21.75" customHeight="1"/>
    <row r="22" spans="1:13" ht="21.75" customHeight="1"/>
    <row r="23" spans="1:13" ht="21.75" customHeight="1"/>
    <row r="24" spans="1:13" ht="21.75" customHeight="1"/>
    <row r="25" spans="1:13" ht="21.75" customHeight="1"/>
    <row r="33" spans="20:20" ht="19.899999999999999" customHeight="1">
      <c r="T33" s="33" t="b">
        <v>1</v>
      </c>
    </row>
  </sheetData>
  <mergeCells count="33">
    <mergeCell ref="L16:M16"/>
    <mergeCell ref="B18:D18"/>
    <mergeCell ref="E18:G18"/>
    <mergeCell ref="H18:M18"/>
    <mergeCell ref="C19:E19"/>
    <mergeCell ref="G19:I19"/>
    <mergeCell ref="K19:M19"/>
    <mergeCell ref="J17:K17"/>
    <mergeCell ref="L17:M17"/>
    <mergeCell ref="A6:A12"/>
    <mergeCell ref="C6:M6"/>
    <mergeCell ref="C7:M7"/>
    <mergeCell ref="C8:M8"/>
    <mergeCell ref="C9:M9"/>
    <mergeCell ref="C10:M10"/>
    <mergeCell ref="C11:M11"/>
    <mergeCell ref="E12:G12"/>
    <mergeCell ref="B15:D15"/>
    <mergeCell ref="E15:G15"/>
    <mergeCell ref="H15:M15"/>
    <mergeCell ref="J16:K16"/>
    <mergeCell ref="A1:G1"/>
    <mergeCell ref="H1:K1"/>
    <mergeCell ref="L1:M1"/>
    <mergeCell ref="A2:M2"/>
    <mergeCell ref="A3:A4"/>
    <mergeCell ref="B3:D3"/>
    <mergeCell ref="E3:G3"/>
    <mergeCell ref="H3:M3"/>
    <mergeCell ref="B4:D4"/>
    <mergeCell ref="E4:G4"/>
    <mergeCell ref="H4:M4"/>
    <mergeCell ref="A5:M5"/>
  </mergeCells>
  <phoneticPr fontId="4" type="noConversion"/>
  <dataValidations count="2">
    <dataValidation type="list" allowBlank="1" showInputMessage="1" showErrorMessage="1" sqref="C11:M11" xr:uid="{8B9BDA96-D66C-482D-A792-1A501CD870CA}">
      <formula1>$N$13:$N$16</formula1>
    </dataValidation>
    <dataValidation type="list" allowBlank="1" showInputMessage="1" showErrorMessage="1" sqref="C10:M10" xr:uid="{E4A69614-033E-471F-81D8-83742E5F8170}">
      <formula1>$N$10:$N$12</formula1>
    </dataValidation>
  </dataValidations>
  <printOptions horizontalCentered="1"/>
  <pageMargins left="0.59055118110236227" right="0.59055118110236227" top="0.59055118110236227" bottom="0.59055118110236227" header="0.59055118110236227" footer="0.3937007874015748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38100</xdr:rowOff>
                  </from>
                  <to>
                    <xdr:col>1</xdr:col>
                    <xdr:colOff>323850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38100</xdr:rowOff>
                  </from>
                  <to>
                    <xdr:col>1</xdr:col>
                    <xdr:colOff>323850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38100</xdr:rowOff>
                  </from>
                  <to>
                    <xdr:col>1</xdr:col>
                    <xdr:colOff>323850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38100</xdr:rowOff>
                  </from>
                  <to>
                    <xdr:col>1</xdr:col>
                    <xdr:colOff>323850</xdr:colOff>
                    <xdr:row>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2E7-E41D-4A55-98C8-691F39F13F8C}">
  <dimension ref="A1:Z28"/>
  <sheetViews>
    <sheetView tabSelected="1" zoomScaleNormal="100" workbookViewId="0">
      <selection activeCell="O16" sqref="O16"/>
    </sheetView>
  </sheetViews>
  <sheetFormatPr defaultRowHeight="19.899999999999999" customHeight="1"/>
  <cols>
    <col min="1" max="1" width="9.75" style="33" customWidth="1"/>
    <col min="2" max="13" width="5.75" style="33" customWidth="1"/>
    <col min="14" max="16384" width="9" style="33"/>
  </cols>
  <sheetData>
    <row r="1" spans="1:26" ht="19.899999999999999" customHeight="1" thickBot="1">
      <c r="A1" s="395"/>
      <c r="B1" s="396"/>
      <c r="C1" s="396"/>
      <c r="D1" s="396"/>
      <c r="E1" s="396"/>
      <c r="F1" s="396"/>
      <c r="G1" s="397"/>
      <c r="H1" s="398" t="s">
        <v>0</v>
      </c>
      <c r="I1" s="399"/>
      <c r="J1" s="399"/>
      <c r="K1" s="400"/>
      <c r="L1" s="433">
        <v>3</v>
      </c>
      <c r="M1" s="434"/>
    </row>
    <row r="2" spans="1:26" ht="19.899999999999999" customHeight="1">
      <c r="A2" s="403" t="s">
        <v>173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35"/>
    </row>
    <row r="3" spans="1:26" ht="19.899999999999999" customHeight="1">
      <c r="A3" s="407" t="s">
        <v>2</v>
      </c>
      <c r="B3" s="409" t="s">
        <v>3</v>
      </c>
      <c r="C3" s="409"/>
      <c r="D3" s="409"/>
      <c r="E3" s="409" t="s">
        <v>4</v>
      </c>
      <c r="F3" s="409"/>
      <c r="G3" s="409"/>
      <c r="H3" s="409" t="s">
        <v>5</v>
      </c>
      <c r="I3" s="409"/>
      <c r="J3" s="409"/>
      <c r="K3" s="409"/>
      <c r="L3" s="409"/>
      <c r="M3" s="410"/>
    </row>
    <row r="4" spans="1:26" ht="19.899999999999999" customHeight="1" thickBot="1">
      <c r="A4" s="408"/>
      <c r="B4" s="437">
        <f>문서번호1!C8</f>
        <v>44935</v>
      </c>
      <c r="C4" s="431"/>
      <c r="D4" s="431"/>
      <c r="E4" s="431" t="str">
        <f>문서번호1!K8</f>
        <v>생산1팀</v>
      </c>
      <c r="F4" s="431"/>
      <c r="G4" s="431"/>
      <c r="H4" s="431" t="str">
        <f>문서번호1!T8</f>
        <v>CTB</v>
      </c>
      <c r="I4" s="431"/>
      <c r="J4" s="431"/>
      <c r="K4" s="431"/>
      <c r="L4" s="431"/>
      <c r="M4" s="432"/>
    </row>
    <row r="5" spans="1:26" ht="12.75" customHeight="1" thickBot="1">
      <c r="A5" s="392"/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4"/>
    </row>
    <row r="6" spans="1:26" ht="19.899999999999999" customHeight="1" thickBot="1">
      <c r="A6" s="262" t="str">
        <f>문서번호1!B17</f>
        <v>작업1</v>
      </c>
      <c r="B6" s="418" t="s">
        <v>79</v>
      </c>
      <c r="C6" s="418"/>
      <c r="D6" s="418" t="s">
        <v>80</v>
      </c>
      <c r="E6" s="418"/>
      <c r="F6" s="418" t="s">
        <v>81</v>
      </c>
      <c r="G6" s="418"/>
      <c r="H6" s="419" t="s">
        <v>31</v>
      </c>
      <c r="I6" s="420"/>
      <c r="J6" s="419" t="s">
        <v>91</v>
      </c>
      <c r="K6" s="420"/>
      <c r="L6" s="418" t="s">
        <v>82</v>
      </c>
      <c r="M6" s="436"/>
    </row>
    <row r="7" spans="1:26" ht="19.899999999999999" customHeight="1">
      <c r="A7" s="416"/>
      <c r="B7" s="384">
        <f>'문서번호2(1)'!W11</f>
        <v>1</v>
      </c>
      <c r="C7" s="384"/>
      <c r="D7" s="384">
        <f>'문서번호2(1)'!W20</f>
        <v>3</v>
      </c>
      <c r="E7" s="384"/>
      <c r="F7" s="384">
        <f>'문서번호2(1)'!W28</f>
        <v>1</v>
      </c>
      <c r="G7" s="384"/>
      <c r="H7" s="384">
        <f>'문서번호2(1)'!W38</f>
        <v>1</v>
      </c>
      <c r="I7" s="384"/>
      <c r="J7" s="384">
        <f>'문서번호2(1)'!W48</f>
        <v>1</v>
      </c>
      <c r="K7" s="384"/>
      <c r="L7" s="384">
        <f>'문서번호2(1)'!W59</f>
        <v>0</v>
      </c>
      <c r="M7" s="385"/>
    </row>
    <row r="8" spans="1:26" ht="19.899999999999999" customHeight="1">
      <c r="A8" s="416"/>
      <c r="B8" s="421" t="s">
        <v>83</v>
      </c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2"/>
    </row>
    <row r="9" spans="1:26" ht="73.5" customHeight="1" thickBot="1">
      <c r="A9" s="417"/>
      <c r="B9" s="438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40"/>
    </row>
    <row r="10" spans="1:26" ht="21" customHeight="1" thickBot="1">
      <c r="A10" s="113" t="s">
        <v>246</v>
      </c>
      <c r="B10" s="114" t="s">
        <v>238</v>
      </c>
      <c r="C10" s="441" t="str">
        <f>'문서번호3(1)'!H15</f>
        <v>안전</v>
      </c>
      <c r="D10" s="156"/>
      <c r="E10" s="442"/>
      <c r="F10" s="121" t="s">
        <v>189</v>
      </c>
      <c r="G10" s="121">
        <f>'문서번호3(1)'!M14</f>
        <v>2</v>
      </c>
      <c r="H10" s="114" t="s">
        <v>239</v>
      </c>
      <c r="I10" s="441" t="str">
        <f>'문서번호3(1)'!H18</f>
        <v>안전</v>
      </c>
      <c r="J10" s="156"/>
      <c r="K10" s="442"/>
      <c r="L10" s="121" t="s">
        <v>189</v>
      </c>
      <c r="M10" s="122">
        <f>'문서번호3(1)'!L17</f>
        <v>1</v>
      </c>
      <c r="Z10" s="107"/>
    </row>
    <row r="11" spans="1:26" ht="21" customHeight="1" thickBot="1">
      <c r="A11" s="115" t="s">
        <v>240</v>
      </c>
      <c r="B11" s="116" t="s">
        <v>242</v>
      </c>
      <c r="C11" s="441" t="str">
        <f>'문서번호3(1)'!C19</f>
        <v>없음</v>
      </c>
      <c r="D11" s="442"/>
      <c r="E11" s="116">
        <f>'문서번호3(1)'!I12</f>
        <v>0</v>
      </c>
      <c r="F11" s="117" t="s">
        <v>243</v>
      </c>
      <c r="G11" s="441" t="str">
        <f>'문서번호3(1)'!G19</f>
        <v>없음</v>
      </c>
      <c r="H11" s="442"/>
      <c r="I11" s="116">
        <f>'문서번호3(1)'!K12</f>
        <v>0</v>
      </c>
      <c r="J11" s="118" t="s">
        <v>244</v>
      </c>
      <c r="K11" s="441" t="str">
        <f>'문서번호3(1)'!K19</f>
        <v>없음</v>
      </c>
      <c r="L11" s="442"/>
      <c r="M11" s="122">
        <f>'문서번호3(1)'!M12</f>
        <v>0</v>
      </c>
    </row>
    <row r="12" spans="1:26" ht="21" customHeight="1" thickBot="1">
      <c r="A12" s="262" t="str">
        <f>문서번호1!B18</f>
        <v>작업2</v>
      </c>
      <c r="B12" s="418" t="s">
        <v>79</v>
      </c>
      <c r="C12" s="418"/>
      <c r="D12" s="418" t="s">
        <v>80</v>
      </c>
      <c r="E12" s="418"/>
      <c r="F12" s="418" t="s">
        <v>81</v>
      </c>
      <c r="G12" s="418"/>
      <c r="H12" s="419" t="s">
        <v>31</v>
      </c>
      <c r="I12" s="420"/>
      <c r="J12" s="419" t="s">
        <v>91</v>
      </c>
      <c r="K12" s="420"/>
      <c r="L12" s="418" t="s">
        <v>82</v>
      </c>
      <c r="M12" s="436"/>
    </row>
    <row r="13" spans="1:26" ht="19.899999999999999" customHeight="1">
      <c r="A13" s="416"/>
      <c r="B13" s="384">
        <f>'문서번호2(2)'!W11</f>
        <v>1</v>
      </c>
      <c r="C13" s="384"/>
      <c r="D13" s="384">
        <f>'문서번호2(2)'!W20</f>
        <v>3</v>
      </c>
      <c r="E13" s="384"/>
      <c r="F13" s="384">
        <f>'문서번호2(2)'!W28</f>
        <v>1</v>
      </c>
      <c r="G13" s="384"/>
      <c r="H13" s="384">
        <f>'문서번호2(2)'!W38</f>
        <v>1</v>
      </c>
      <c r="I13" s="384"/>
      <c r="J13" s="384">
        <f>'문서번호2(2)'!W48</f>
        <v>1</v>
      </c>
      <c r="K13" s="384"/>
      <c r="L13" s="384">
        <f>'문서번호2(2)'!W59</f>
        <v>0</v>
      </c>
      <c r="M13" s="385"/>
    </row>
    <row r="14" spans="1:26" ht="19.899999999999999" customHeight="1">
      <c r="A14" s="416"/>
      <c r="B14" s="421" t="s">
        <v>83</v>
      </c>
      <c r="C14" s="421"/>
      <c r="D14" s="421"/>
      <c r="E14" s="421"/>
      <c r="F14" s="421"/>
      <c r="G14" s="421"/>
      <c r="H14" s="421"/>
      <c r="I14" s="421"/>
      <c r="J14" s="421"/>
      <c r="K14" s="421"/>
      <c r="L14" s="421"/>
      <c r="M14" s="422"/>
    </row>
    <row r="15" spans="1:26" ht="71.25" customHeight="1" thickBot="1">
      <c r="A15" s="417"/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M15" s="456"/>
    </row>
    <row r="16" spans="1:26" ht="21" customHeight="1" thickBot="1">
      <c r="A16" s="113" t="s">
        <v>246</v>
      </c>
      <c r="B16" s="119" t="s">
        <v>238</v>
      </c>
      <c r="C16" s="441" t="str">
        <f>'문서번호3(2)'!H15</f>
        <v>안전</v>
      </c>
      <c r="D16" s="156"/>
      <c r="E16" s="442"/>
      <c r="F16" s="121" t="s">
        <v>189</v>
      </c>
      <c r="G16" s="116">
        <f>'문서번호3(2)'!M14</f>
        <v>2</v>
      </c>
      <c r="H16" s="120" t="s">
        <v>239</v>
      </c>
      <c r="I16" s="441" t="str">
        <f>'문서번호3(2)'!H18</f>
        <v>안전</v>
      </c>
      <c r="J16" s="156"/>
      <c r="K16" s="442"/>
      <c r="L16" s="121" t="s">
        <v>189</v>
      </c>
      <c r="M16" s="122">
        <f>'문서번호3(2)'!L17</f>
        <v>1</v>
      </c>
    </row>
    <row r="17" spans="1:13" ht="21" customHeight="1" thickBot="1">
      <c r="A17" s="115" t="s">
        <v>240</v>
      </c>
      <c r="B17" s="116" t="s">
        <v>242</v>
      </c>
      <c r="C17" s="441" t="str">
        <f>'문서번호3(2)'!C19</f>
        <v>없음</v>
      </c>
      <c r="D17" s="442"/>
      <c r="E17" s="116">
        <f>'문서번호3(2)'!I12</f>
        <v>0</v>
      </c>
      <c r="F17" s="117" t="s">
        <v>243</v>
      </c>
      <c r="G17" s="441" t="str">
        <f>'문서번호3(2)'!G19</f>
        <v>없음</v>
      </c>
      <c r="H17" s="442"/>
      <c r="I17" s="116">
        <f>'문서번호3(2)'!K12</f>
        <v>0</v>
      </c>
      <c r="J17" s="118" t="s">
        <v>244</v>
      </c>
      <c r="K17" s="441" t="str">
        <f>'문서번호3(2)'!K19</f>
        <v>없음</v>
      </c>
      <c r="L17" s="442"/>
      <c r="M17" s="122">
        <f>'문서번호3(2)'!M12</f>
        <v>0</v>
      </c>
    </row>
    <row r="18" spans="1:13" ht="19.899999999999999" customHeight="1">
      <c r="A18" s="413" t="s">
        <v>84</v>
      </c>
      <c r="B18" s="414"/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5"/>
    </row>
    <row r="19" spans="1:13" ht="19.899999999999999" customHeight="1" thickBot="1">
      <c r="A19" s="452" t="s">
        <v>85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4"/>
    </row>
    <row r="20" spans="1:13" ht="14.25" customHeight="1" thickBot="1">
      <c r="A20" s="443"/>
      <c r="B20" s="443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</row>
    <row r="21" spans="1:13" ht="19.899999999999999" customHeight="1">
      <c r="A21" s="37" t="s">
        <v>0</v>
      </c>
      <c r="B21" s="448" t="s">
        <v>87</v>
      </c>
      <c r="C21" s="449"/>
      <c r="D21" s="449"/>
      <c r="E21" s="449"/>
      <c r="F21" s="449"/>
      <c r="G21" s="446" t="s">
        <v>86</v>
      </c>
      <c r="H21" s="449"/>
      <c r="I21" s="449"/>
      <c r="J21" s="449"/>
      <c r="K21" s="269"/>
      <c r="L21" s="446" t="s">
        <v>97</v>
      </c>
      <c r="M21" s="447"/>
    </row>
    <row r="22" spans="1:13" ht="35.25" customHeight="1">
      <c r="A22" s="38"/>
      <c r="B22" s="425"/>
      <c r="C22" s="426"/>
      <c r="D22" s="426"/>
      <c r="E22" s="426"/>
      <c r="F22" s="427"/>
      <c r="G22" s="426"/>
      <c r="H22" s="426"/>
      <c r="I22" s="426"/>
      <c r="J22" s="426"/>
      <c r="K22" s="427"/>
      <c r="L22" s="423"/>
      <c r="M22" s="424"/>
    </row>
    <row r="23" spans="1:13" ht="35.25" customHeight="1">
      <c r="A23" s="38"/>
      <c r="B23" s="425"/>
      <c r="C23" s="426"/>
      <c r="D23" s="426"/>
      <c r="E23" s="426"/>
      <c r="F23" s="426"/>
      <c r="G23" s="423"/>
      <c r="H23" s="426"/>
      <c r="I23" s="426"/>
      <c r="J23" s="426"/>
      <c r="K23" s="427"/>
      <c r="L23" s="423"/>
      <c r="M23" s="424"/>
    </row>
    <row r="24" spans="1:13" ht="35.25" customHeight="1">
      <c r="A24" s="38"/>
      <c r="B24" s="425"/>
      <c r="C24" s="426"/>
      <c r="D24" s="426"/>
      <c r="E24" s="426"/>
      <c r="F24" s="427"/>
      <c r="G24" s="426"/>
      <c r="H24" s="426"/>
      <c r="I24" s="426"/>
      <c r="J24" s="426"/>
      <c r="K24" s="427"/>
      <c r="L24" s="423"/>
      <c r="M24" s="424"/>
    </row>
    <row r="25" spans="1:13" ht="35.25" customHeight="1">
      <c r="A25" s="38"/>
      <c r="B25" s="425"/>
      <c r="C25" s="426"/>
      <c r="D25" s="426"/>
      <c r="E25" s="426"/>
      <c r="F25" s="427"/>
      <c r="G25" s="426"/>
      <c r="H25" s="426"/>
      <c r="I25" s="426"/>
      <c r="J25" s="426"/>
      <c r="K25" s="427"/>
      <c r="L25" s="423"/>
      <c r="M25" s="424"/>
    </row>
    <row r="26" spans="1:13" ht="35.25" customHeight="1" thickBot="1">
      <c r="A26" s="39"/>
      <c r="B26" s="428"/>
      <c r="C26" s="429"/>
      <c r="D26" s="429"/>
      <c r="E26" s="429"/>
      <c r="F26" s="430"/>
      <c r="G26" s="429"/>
      <c r="H26" s="429"/>
      <c r="I26" s="429"/>
      <c r="J26" s="429"/>
      <c r="K26" s="430"/>
      <c r="L26" s="450"/>
      <c r="M26" s="451"/>
    </row>
    <row r="27" spans="1:13" ht="19.899999999999999" customHeight="1" thickBot="1">
      <c r="A27" s="443"/>
      <c r="B27" s="443"/>
      <c r="C27" s="443"/>
      <c r="D27" s="443"/>
      <c r="E27" s="443"/>
      <c r="F27" s="443"/>
      <c r="G27" s="443"/>
      <c r="H27" s="443"/>
      <c r="I27" s="443"/>
      <c r="J27" s="443"/>
      <c r="K27" s="443"/>
      <c r="L27" s="443"/>
      <c r="M27" s="443"/>
    </row>
    <row r="28" spans="1:13" ht="19.5" customHeight="1" thickBot="1">
      <c r="A28" s="32" t="s">
        <v>18</v>
      </c>
      <c r="B28" s="444"/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</sheetData>
  <mergeCells count="75">
    <mergeCell ref="C17:D17"/>
    <mergeCell ref="G17:H17"/>
    <mergeCell ref="K17:L17"/>
    <mergeCell ref="C11:D11"/>
    <mergeCell ref="G11:H11"/>
    <mergeCell ref="K11:L11"/>
    <mergeCell ref="C16:E16"/>
    <mergeCell ref="I16:K16"/>
    <mergeCell ref="A27:M27"/>
    <mergeCell ref="B28:M28"/>
    <mergeCell ref="J13:K13"/>
    <mergeCell ref="B14:M14"/>
    <mergeCell ref="L21:M21"/>
    <mergeCell ref="A20:M20"/>
    <mergeCell ref="B13:C13"/>
    <mergeCell ref="D13:E13"/>
    <mergeCell ref="F13:G13"/>
    <mergeCell ref="H13:I13"/>
    <mergeCell ref="B21:F21"/>
    <mergeCell ref="G21:K21"/>
    <mergeCell ref="L26:M26"/>
    <mergeCell ref="B22:F22"/>
    <mergeCell ref="A19:M19"/>
    <mergeCell ref="B15:M15"/>
    <mergeCell ref="L7:M7"/>
    <mergeCell ref="B9:M9"/>
    <mergeCell ref="L13:M13"/>
    <mergeCell ref="L12:M12"/>
    <mergeCell ref="C10:E10"/>
    <mergeCell ref="I10:K10"/>
    <mergeCell ref="H1:K1"/>
    <mergeCell ref="A1:G1"/>
    <mergeCell ref="F6:G6"/>
    <mergeCell ref="H4:M4"/>
    <mergeCell ref="A5:M5"/>
    <mergeCell ref="L1:M1"/>
    <mergeCell ref="A2:M2"/>
    <mergeCell ref="A3:A4"/>
    <mergeCell ref="H3:M3"/>
    <mergeCell ref="H6:I6"/>
    <mergeCell ref="J6:K6"/>
    <mergeCell ref="L6:M6"/>
    <mergeCell ref="B3:D3"/>
    <mergeCell ref="B4:D4"/>
    <mergeCell ref="E3:G3"/>
    <mergeCell ref="E4:G4"/>
    <mergeCell ref="L25:M25"/>
    <mergeCell ref="B24:F24"/>
    <mergeCell ref="B25:F25"/>
    <mergeCell ref="G22:K22"/>
    <mergeCell ref="B26:F26"/>
    <mergeCell ref="G23:K23"/>
    <mergeCell ref="G24:K24"/>
    <mergeCell ref="G25:K25"/>
    <mergeCell ref="G26:K26"/>
    <mergeCell ref="B23:F23"/>
    <mergeCell ref="L22:M22"/>
    <mergeCell ref="L24:M24"/>
    <mergeCell ref="L23:M23"/>
    <mergeCell ref="A18:M18"/>
    <mergeCell ref="A12:A15"/>
    <mergeCell ref="A6:A9"/>
    <mergeCell ref="B12:C12"/>
    <mergeCell ref="D12:E12"/>
    <mergeCell ref="F12:G12"/>
    <mergeCell ref="H12:I12"/>
    <mergeCell ref="J12:K12"/>
    <mergeCell ref="H7:I7"/>
    <mergeCell ref="B6:C6"/>
    <mergeCell ref="J7:K7"/>
    <mergeCell ref="B8:M8"/>
    <mergeCell ref="B7:C7"/>
    <mergeCell ref="D6:E6"/>
    <mergeCell ref="D7:E7"/>
    <mergeCell ref="F7:G7"/>
  </mergeCells>
  <phoneticPr fontId="4" type="noConversion"/>
  <printOptions horizontalCentered="1"/>
  <pageMargins left="0.59055118110236227" right="0.59055118110236227" top="0.59055118110236227" bottom="0.59055118110236227" header="0.59055118110236227" footer="0.3937007874015748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5DC9-B512-45E4-97A4-C7542931CB5E}">
  <dimension ref="A1:E145"/>
  <sheetViews>
    <sheetView workbookViewId="0">
      <selection activeCell="A18" sqref="A18:M18"/>
    </sheetView>
  </sheetViews>
  <sheetFormatPr defaultRowHeight="16.5"/>
  <sheetData>
    <row r="1" spans="1:5">
      <c r="A1" t="s">
        <v>181</v>
      </c>
      <c r="B1" t="s">
        <v>182</v>
      </c>
      <c r="C1" t="s">
        <v>183</v>
      </c>
      <c r="D1" t="s">
        <v>184</v>
      </c>
      <c r="E1" t="s">
        <v>206</v>
      </c>
    </row>
    <row r="2" spans="1:5">
      <c r="A2">
        <v>1</v>
      </c>
      <c r="B2">
        <v>1</v>
      </c>
      <c r="C2">
        <v>1</v>
      </c>
      <c r="D2">
        <v>1</v>
      </c>
      <c r="E2">
        <v>1</v>
      </c>
    </row>
    <row r="3" spans="1:5">
      <c r="A3">
        <v>1</v>
      </c>
      <c r="B3">
        <v>1</v>
      </c>
      <c r="C3">
        <v>1</v>
      </c>
      <c r="D3">
        <v>2</v>
      </c>
      <c r="E3">
        <v>2</v>
      </c>
    </row>
    <row r="4" spans="1:5">
      <c r="A4">
        <v>1</v>
      </c>
      <c r="B4">
        <v>1</v>
      </c>
      <c r="C4">
        <v>2</v>
      </c>
      <c r="D4">
        <v>1</v>
      </c>
      <c r="E4">
        <v>2</v>
      </c>
    </row>
    <row r="5" spans="1:5">
      <c r="A5">
        <v>1</v>
      </c>
      <c r="B5">
        <v>1</v>
      </c>
      <c r="C5">
        <v>2</v>
      </c>
      <c r="D5">
        <v>2</v>
      </c>
      <c r="E5">
        <v>2</v>
      </c>
    </row>
    <row r="6" spans="1:5">
      <c r="A6">
        <v>1</v>
      </c>
      <c r="B6">
        <v>1</v>
      </c>
      <c r="C6">
        <v>3</v>
      </c>
      <c r="D6">
        <v>1</v>
      </c>
      <c r="E6">
        <v>2</v>
      </c>
    </row>
    <row r="7" spans="1:5">
      <c r="A7">
        <v>1</v>
      </c>
      <c r="B7">
        <v>1</v>
      </c>
      <c r="C7">
        <v>3</v>
      </c>
      <c r="D7">
        <v>2</v>
      </c>
      <c r="E7">
        <v>3</v>
      </c>
    </row>
    <row r="8" spans="1:5">
      <c r="A8">
        <v>1</v>
      </c>
      <c r="B8">
        <v>1</v>
      </c>
      <c r="C8">
        <v>4</v>
      </c>
      <c r="D8">
        <v>1</v>
      </c>
      <c r="E8">
        <v>3</v>
      </c>
    </row>
    <row r="9" spans="1:5">
      <c r="A9">
        <v>1</v>
      </c>
      <c r="B9">
        <v>1</v>
      </c>
      <c r="C9">
        <v>4</v>
      </c>
      <c r="D9">
        <v>2</v>
      </c>
      <c r="E9">
        <v>3</v>
      </c>
    </row>
    <row r="10" spans="1:5">
      <c r="A10">
        <v>1</v>
      </c>
      <c r="B10">
        <v>2</v>
      </c>
      <c r="C10">
        <v>1</v>
      </c>
      <c r="D10">
        <v>1</v>
      </c>
      <c r="E10">
        <v>2</v>
      </c>
    </row>
    <row r="11" spans="1:5">
      <c r="A11">
        <v>1</v>
      </c>
      <c r="B11">
        <v>2</v>
      </c>
      <c r="C11">
        <v>1</v>
      </c>
      <c r="D11">
        <v>2</v>
      </c>
      <c r="E11">
        <v>2</v>
      </c>
    </row>
    <row r="12" spans="1:5">
      <c r="A12">
        <v>1</v>
      </c>
      <c r="B12">
        <v>2</v>
      </c>
      <c r="C12">
        <v>2</v>
      </c>
      <c r="D12">
        <v>1</v>
      </c>
      <c r="E12">
        <v>2</v>
      </c>
    </row>
    <row r="13" spans="1:5">
      <c r="A13">
        <v>1</v>
      </c>
      <c r="B13">
        <v>2</v>
      </c>
      <c r="C13">
        <v>2</v>
      </c>
      <c r="D13">
        <v>2</v>
      </c>
      <c r="E13">
        <v>2</v>
      </c>
    </row>
    <row r="14" spans="1:5">
      <c r="A14">
        <v>1</v>
      </c>
      <c r="B14">
        <v>2</v>
      </c>
      <c r="C14">
        <v>3</v>
      </c>
      <c r="D14">
        <v>1</v>
      </c>
      <c r="E14">
        <v>3</v>
      </c>
    </row>
    <row r="15" spans="1:5">
      <c r="A15">
        <v>1</v>
      </c>
      <c r="B15">
        <v>2</v>
      </c>
      <c r="C15">
        <v>3</v>
      </c>
      <c r="D15">
        <v>2</v>
      </c>
      <c r="E15">
        <v>3</v>
      </c>
    </row>
    <row r="16" spans="1:5">
      <c r="A16">
        <v>1</v>
      </c>
      <c r="B16">
        <v>2</v>
      </c>
      <c r="C16">
        <v>4</v>
      </c>
      <c r="D16">
        <v>1</v>
      </c>
      <c r="E16">
        <v>3</v>
      </c>
    </row>
    <row r="17" spans="1:5">
      <c r="A17">
        <v>1</v>
      </c>
      <c r="B17">
        <v>2</v>
      </c>
      <c r="C17">
        <v>4</v>
      </c>
      <c r="D17">
        <v>2</v>
      </c>
      <c r="E17">
        <v>3</v>
      </c>
    </row>
    <row r="18" spans="1:5">
      <c r="A18">
        <v>1</v>
      </c>
      <c r="B18">
        <v>3</v>
      </c>
      <c r="C18">
        <v>1</v>
      </c>
      <c r="D18">
        <v>1</v>
      </c>
      <c r="E18">
        <v>2</v>
      </c>
    </row>
    <row r="19" spans="1:5">
      <c r="A19">
        <v>1</v>
      </c>
      <c r="B19">
        <v>3</v>
      </c>
      <c r="C19">
        <v>1</v>
      </c>
      <c r="D19">
        <v>2</v>
      </c>
      <c r="E19">
        <v>3</v>
      </c>
    </row>
    <row r="20" spans="1:5">
      <c r="A20">
        <v>1</v>
      </c>
      <c r="B20">
        <v>3</v>
      </c>
      <c r="C20">
        <v>2</v>
      </c>
      <c r="D20">
        <v>1</v>
      </c>
      <c r="E20">
        <v>3</v>
      </c>
    </row>
    <row r="21" spans="1:5">
      <c r="A21">
        <v>1</v>
      </c>
      <c r="B21">
        <v>3</v>
      </c>
      <c r="C21">
        <v>2</v>
      </c>
      <c r="D21">
        <v>2</v>
      </c>
      <c r="E21">
        <v>3</v>
      </c>
    </row>
    <row r="22" spans="1:5">
      <c r="A22">
        <v>1</v>
      </c>
      <c r="B22">
        <v>3</v>
      </c>
      <c r="C22">
        <v>3</v>
      </c>
      <c r="D22">
        <v>1</v>
      </c>
      <c r="E22">
        <v>3</v>
      </c>
    </row>
    <row r="23" spans="1:5">
      <c r="A23">
        <v>1</v>
      </c>
      <c r="B23">
        <v>3</v>
      </c>
      <c r="C23">
        <v>3</v>
      </c>
      <c r="D23">
        <v>2</v>
      </c>
      <c r="E23">
        <v>3</v>
      </c>
    </row>
    <row r="24" spans="1:5">
      <c r="A24">
        <v>1</v>
      </c>
      <c r="B24">
        <v>3</v>
      </c>
      <c r="C24">
        <v>4</v>
      </c>
      <c r="D24">
        <v>1</v>
      </c>
      <c r="E24">
        <v>4</v>
      </c>
    </row>
    <row r="25" spans="1:5">
      <c r="A25">
        <v>1</v>
      </c>
      <c r="B25">
        <v>3</v>
      </c>
      <c r="C25">
        <v>4</v>
      </c>
      <c r="D25">
        <v>2</v>
      </c>
      <c r="E25">
        <v>4</v>
      </c>
    </row>
    <row r="26" spans="1:5">
      <c r="A26">
        <v>2</v>
      </c>
      <c r="B26">
        <v>1</v>
      </c>
      <c r="C26">
        <v>1</v>
      </c>
      <c r="D26">
        <v>1</v>
      </c>
      <c r="E26">
        <v>2</v>
      </c>
    </row>
    <row r="27" spans="1:5">
      <c r="A27">
        <v>2</v>
      </c>
      <c r="B27">
        <v>1</v>
      </c>
      <c r="C27">
        <v>1</v>
      </c>
      <c r="D27">
        <v>2</v>
      </c>
      <c r="E27">
        <v>3</v>
      </c>
    </row>
    <row r="28" spans="1:5">
      <c r="A28">
        <v>2</v>
      </c>
      <c r="B28">
        <v>1</v>
      </c>
      <c r="C28">
        <v>2</v>
      </c>
      <c r="D28">
        <v>1</v>
      </c>
      <c r="E28">
        <v>3</v>
      </c>
    </row>
    <row r="29" spans="1:5">
      <c r="A29">
        <v>2</v>
      </c>
      <c r="B29">
        <v>1</v>
      </c>
      <c r="C29">
        <v>2</v>
      </c>
      <c r="D29">
        <v>2</v>
      </c>
      <c r="E29">
        <v>3</v>
      </c>
    </row>
    <row r="30" spans="1:5">
      <c r="A30">
        <v>2</v>
      </c>
      <c r="B30">
        <v>1</v>
      </c>
      <c r="C30">
        <v>3</v>
      </c>
      <c r="D30">
        <v>1</v>
      </c>
      <c r="E30">
        <v>3</v>
      </c>
    </row>
    <row r="31" spans="1:5">
      <c r="A31">
        <v>2</v>
      </c>
      <c r="B31">
        <v>1</v>
      </c>
      <c r="C31">
        <v>3</v>
      </c>
      <c r="D31">
        <v>2</v>
      </c>
      <c r="E31">
        <v>4</v>
      </c>
    </row>
    <row r="32" spans="1:5">
      <c r="A32">
        <v>2</v>
      </c>
      <c r="B32">
        <v>1</v>
      </c>
      <c r="C32">
        <v>4</v>
      </c>
      <c r="D32">
        <v>1</v>
      </c>
      <c r="E32">
        <v>4</v>
      </c>
    </row>
    <row r="33" spans="1:5">
      <c r="A33">
        <v>2</v>
      </c>
      <c r="B33">
        <v>1</v>
      </c>
      <c r="C33">
        <v>4</v>
      </c>
      <c r="D33">
        <v>2</v>
      </c>
      <c r="E33">
        <v>4</v>
      </c>
    </row>
    <row r="34" spans="1:5">
      <c r="A34">
        <v>2</v>
      </c>
      <c r="B34">
        <v>2</v>
      </c>
      <c r="C34">
        <v>1</v>
      </c>
      <c r="D34">
        <v>1</v>
      </c>
      <c r="E34">
        <v>3</v>
      </c>
    </row>
    <row r="35" spans="1:5">
      <c r="A35">
        <v>2</v>
      </c>
      <c r="B35">
        <v>2</v>
      </c>
      <c r="C35">
        <v>1</v>
      </c>
      <c r="D35">
        <v>2</v>
      </c>
      <c r="E35">
        <v>3</v>
      </c>
    </row>
    <row r="36" spans="1:5">
      <c r="A36">
        <v>2</v>
      </c>
      <c r="B36">
        <v>2</v>
      </c>
      <c r="C36">
        <v>2</v>
      </c>
      <c r="D36">
        <v>1</v>
      </c>
      <c r="E36">
        <v>3</v>
      </c>
    </row>
    <row r="37" spans="1:5">
      <c r="A37">
        <v>2</v>
      </c>
      <c r="B37">
        <v>2</v>
      </c>
      <c r="C37">
        <v>2</v>
      </c>
      <c r="D37">
        <v>2</v>
      </c>
      <c r="E37">
        <v>3</v>
      </c>
    </row>
    <row r="38" spans="1:5">
      <c r="A38">
        <v>2</v>
      </c>
      <c r="B38">
        <v>2</v>
      </c>
      <c r="C38">
        <v>3</v>
      </c>
      <c r="D38">
        <v>1</v>
      </c>
      <c r="E38">
        <v>3</v>
      </c>
    </row>
    <row r="39" spans="1:5">
      <c r="A39">
        <v>2</v>
      </c>
      <c r="B39">
        <v>2</v>
      </c>
      <c r="C39">
        <v>3</v>
      </c>
      <c r="D39">
        <v>2</v>
      </c>
      <c r="E39">
        <v>4</v>
      </c>
    </row>
    <row r="40" spans="1:5">
      <c r="A40">
        <v>2</v>
      </c>
      <c r="B40">
        <v>2</v>
      </c>
      <c r="C40">
        <v>4</v>
      </c>
      <c r="D40">
        <v>1</v>
      </c>
      <c r="E40">
        <v>4</v>
      </c>
    </row>
    <row r="41" spans="1:5">
      <c r="A41">
        <v>2</v>
      </c>
      <c r="B41">
        <v>2</v>
      </c>
      <c r="C41">
        <v>4</v>
      </c>
      <c r="D41">
        <v>2</v>
      </c>
      <c r="E41">
        <v>4</v>
      </c>
    </row>
    <row r="42" spans="1:5">
      <c r="A42">
        <v>2</v>
      </c>
      <c r="B42">
        <v>3</v>
      </c>
      <c r="C42">
        <v>1</v>
      </c>
      <c r="D42">
        <v>1</v>
      </c>
      <c r="E42">
        <v>3</v>
      </c>
    </row>
    <row r="43" spans="1:5">
      <c r="A43">
        <v>2</v>
      </c>
      <c r="B43">
        <v>3</v>
      </c>
      <c r="C43">
        <v>1</v>
      </c>
      <c r="D43">
        <v>2</v>
      </c>
      <c r="E43">
        <v>4</v>
      </c>
    </row>
    <row r="44" spans="1:5">
      <c r="A44">
        <v>2</v>
      </c>
      <c r="B44">
        <v>3</v>
      </c>
      <c r="C44">
        <v>2</v>
      </c>
      <c r="D44">
        <v>1</v>
      </c>
      <c r="E44">
        <v>4</v>
      </c>
    </row>
    <row r="45" spans="1:5">
      <c r="A45">
        <v>2</v>
      </c>
      <c r="B45">
        <v>3</v>
      </c>
      <c r="C45">
        <v>2</v>
      </c>
      <c r="D45">
        <v>2</v>
      </c>
      <c r="E45">
        <v>4</v>
      </c>
    </row>
    <row r="46" spans="1:5">
      <c r="A46">
        <v>2</v>
      </c>
      <c r="B46">
        <v>3</v>
      </c>
      <c r="C46">
        <v>3</v>
      </c>
      <c r="D46">
        <v>1</v>
      </c>
      <c r="E46">
        <v>4</v>
      </c>
    </row>
    <row r="47" spans="1:5">
      <c r="A47">
        <v>2</v>
      </c>
      <c r="B47">
        <v>3</v>
      </c>
      <c r="C47">
        <v>3</v>
      </c>
      <c r="D47">
        <v>2</v>
      </c>
      <c r="E47">
        <v>4</v>
      </c>
    </row>
    <row r="48" spans="1:5">
      <c r="A48">
        <v>2</v>
      </c>
      <c r="B48">
        <v>3</v>
      </c>
      <c r="C48">
        <v>4</v>
      </c>
      <c r="D48">
        <v>1</v>
      </c>
      <c r="E48">
        <v>5</v>
      </c>
    </row>
    <row r="49" spans="1:5">
      <c r="A49">
        <v>2</v>
      </c>
      <c r="B49">
        <v>3</v>
      </c>
      <c r="C49">
        <v>4</v>
      </c>
      <c r="D49">
        <v>2</v>
      </c>
      <c r="E49">
        <v>5</v>
      </c>
    </row>
    <row r="50" spans="1:5">
      <c r="A50">
        <v>3</v>
      </c>
      <c r="B50">
        <v>1</v>
      </c>
      <c r="C50">
        <v>1</v>
      </c>
      <c r="D50">
        <v>1</v>
      </c>
      <c r="E50">
        <v>3</v>
      </c>
    </row>
    <row r="51" spans="1:5">
      <c r="A51">
        <v>3</v>
      </c>
      <c r="B51">
        <v>1</v>
      </c>
      <c r="C51">
        <v>1</v>
      </c>
      <c r="D51">
        <v>2</v>
      </c>
      <c r="E51">
        <v>3</v>
      </c>
    </row>
    <row r="52" spans="1:5">
      <c r="A52">
        <v>3</v>
      </c>
      <c r="B52">
        <v>1</v>
      </c>
      <c r="C52">
        <v>2</v>
      </c>
      <c r="D52">
        <v>1</v>
      </c>
      <c r="E52">
        <v>4</v>
      </c>
    </row>
    <row r="53" spans="1:5">
      <c r="A53">
        <v>3</v>
      </c>
      <c r="B53">
        <v>1</v>
      </c>
      <c r="C53">
        <v>2</v>
      </c>
      <c r="D53">
        <v>2</v>
      </c>
      <c r="E53">
        <v>4</v>
      </c>
    </row>
    <row r="54" spans="1:5">
      <c r="A54">
        <v>3</v>
      </c>
      <c r="B54">
        <v>1</v>
      </c>
      <c r="C54">
        <v>3</v>
      </c>
      <c r="D54">
        <v>1</v>
      </c>
      <c r="E54">
        <v>4</v>
      </c>
    </row>
    <row r="55" spans="1:5">
      <c r="A55">
        <v>3</v>
      </c>
      <c r="B55">
        <v>1</v>
      </c>
      <c r="C55">
        <v>3</v>
      </c>
      <c r="D55">
        <v>2</v>
      </c>
      <c r="E55">
        <v>4</v>
      </c>
    </row>
    <row r="56" spans="1:5">
      <c r="A56">
        <v>3</v>
      </c>
      <c r="B56">
        <v>1</v>
      </c>
      <c r="C56">
        <v>4</v>
      </c>
      <c r="D56">
        <v>1</v>
      </c>
      <c r="E56">
        <v>5</v>
      </c>
    </row>
    <row r="57" spans="1:5">
      <c r="A57">
        <v>3</v>
      </c>
      <c r="B57">
        <v>1</v>
      </c>
      <c r="C57">
        <v>4</v>
      </c>
      <c r="D57">
        <v>2</v>
      </c>
      <c r="E57">
        <v>5</v>
      </c>
    </row>
    <row r="58" spans="1:5">
      <c r="A58">
        <v>3</v>
      </c>
      <c r="B58">
        <v>2</v>
      </c>
      <c r="C58">
        <v>1</v>
      </c>
      <c r="D58">
        <v>1</v>
      </c>
      <c r="E58">
        <v>3</v>
      </c>
    </row>
    <row r="59" spans="1:5">
      <c r="A59">
        <v>3</v>
      </c>
      <c r="B59">
        <v>2</v>
      </c>
      <c r="C59">
        <v>1</v>
      </c>
      <c r="D59">
        <v>2</v>
      </c>
      <c r="E59">
        <v>4</v>
      </c>
    </row>
    <row r="60" spans="1:5">
      <c r="A60">
        <v>3</v>
      </c>
      <c r="B60">
        <v>2</v>
      </c>
      <c r="C60">
        <v>2</v>
      </c>
      <c r="D60">
        <v>1</v>
      </c>
      <c r="E60">
        <v>4</v>
      </c>
    </row>
    <row r="61" spans="1:5">
      <c r="A61">
        <v>3</v>
      </c>
      <c r="B61">
        <v>2</v>
      </c>
      <c r="C61">
        <v>2</v>
      </c>
      <c r="D61">
        <v>2</v>
      </c>
      <c r="E61">
        <v>4</v>
      </c>
    </row>
    <row r="62" spans="1:5">
      <c r="A62">
        <v>3</v>
      </c>
      <c r="B62">
        <v>2</v>
      </c>
      <c r="C62">
        <v>3</v>
      </c>
      <c r="D62">
        <v>1</v>
      </c>
      <c r="E62">
        <v>4</v>
      </c>
    </row>
    <row r="63" spans="1:5">
      <c r="A63">
        <v>3</v>
      </c>
      <c r="B63">
        <v>2</v>
      </c>
      <c r="C63">
        <v>3</v>
      </c>
      <c r="D63">
        <v>2</v>
      </c>
      <c r="E63">
        <v>4</v>
      </c>
    </row>
    <row r="64" spans="1:5">
      <c r="A64">
        <v>3</v>
      </c>
      <c r="B64">
        <v>2</v>
      </c>
      <c r="C64">
        <v>4</v>
      </c>
      <c r="D64">
        <v>1</v>
      </c>
      <c r="E64">
        <v>5</v>
      </c>
    </row>
    <row r="65" spans="1:5">
      <c r="A65">
        <v>3</v>
      </c>
      <c r="B65">
        <v>2</v>
      </c>
      <c r="C65">
        <v>4</v>
      </c>
      <c r="D65">
        <v>2</v>
      </c>
      <c r="E65">
        <v>5</v>
      </c>
    </row>
    <row r="66" spans="1:5">
      <c r="A66">
        <v>3</v>
      </c>
      <c r="B66">
        <v>3</v>
      </c>
      <c r="C66">
        <v>1</v>
      </c>
      <c r="D66">
        <v>1</v>
      </c>
      <c r="E66">
        <v>4</v>
      </c>
    </row>
    <row r="67" spans="1:5">
      <c r="A67">
        <v>3</v>
      </c>
      <c r="B67">
        <v>3</v>
      </c>
      <c r="C67">
        <v>1</v>
      </c>
      <c r="D67">
        <v>2</v>
      </c>
      <c r="E67">
        <v>4</v>
      </c>
    </row>
    <row r="68" spans="1:5">
      <c r="A68">
        <v>3</v>
      </c>
      <c r="B68">
        <v>3</v>
      </c>
      <c r="C68">
        <v>2</v>
      </c>
      <c r="D68">
        <v>1</v>
      </c>
      <c r="E68">
        <v>4</v>
      </c>
    </row>
    <row r="69" spans="1:5">
      <c r="A69">
        <v>3</v>
      </c>
      <c r="B69">
        <v>3</v>
      </c>
      <c r="C69">
        <v>2</v>
      </c>
      <c r="D69">
        <v>2</v>
      </c>
      <c r="E69">
        <v>4</v>
      </c>
    </row>
    <row r="70" spans="1:5">
      <c r="A70">
        <v>3</v>
      </c>
      <c r="B70">
        <v>3</v>
      </c>
      <c r="C70">
        <v>3</v>
      </c>
      <c r="D70">
        <v>1</v>
      </c>
      <c r="E70">
        <v>4</v>
      </c>
    </row>
    <row r="71" spans="1:5">
      <c r="A71">
        <v>3</v>
      </c>
      <c r="B71">
        <v>3</v>
      </c>
      <c r="C71">
        <v>3</v>
      </c>
      <c r="D71">
        <v>2</v>
      </c>
      <c r="E71">
        <v>5</v>
      </c>
    </row>
    <row r="72" spans="1:5">
      <c r="A72">
        <v>3</v>
      </c>
      <c r="B72">
        <v>3</v>
      </c>
      <c r="C72">
        <v>4</v>
      </c>
      <c r="D72">
        <v>1</v>
      </c>
      <c r="E72">
        <v>5</v>
      </c>
    </row>
    <row r="73" spans="1:5">
      <c r="A73">
        <v>3</v>
      </c>
      <c r="B73">
        <v>3</v>
      </c>
      <c r="C73">
        <v>4</v>
      </c>
      <c r="D73">
        <v>2</v>
      </c>
      <c r="E73">
        <v>5</v>
      </c>
    </row>
    <row r="74" spans="1:5">
      <c r="A74">
        <v>4</v>
      </c>
      <c r="B74">
        <v>1</v>
      </c>
      <c r="C74">
        <v>1</v>
      </c>
      <c r="D74">
        <v>1</v>
      </c>
      <c r="E74">
        <v>4</v>
      </c>
    </row>
    <row r="75" spans="1:5">
      <c r="A75">
        <v>4</v>
      </c>
      <c r="B75">
        <v>1</v>
      </c>
      <c r="C75">
        <v>1</v>
      </c>
      <c r="D75">
        <v>2</v>
      </c>
      <c r="E75">
        <v>4</v>
      </c>
    </row>
    <row r="76" spans="1:5">
      <c r="A76">
        <v>4</v>
      </c>
      <c r="B76">
        <v>1</v>
      </c>
      <c r="C76">
        <v>2</v>
      </c>
      <c r="D76">
        <v>1</v>
      </c>
      <c r="E76">
        <v>4</v>
      </c>
    </row>
    <row r="77" spans="1:5">
      <c r="A77">
        <v>4</v>
      </c>
      <c r="B77">
        <v>1</v>
      </c>
      <c r="C77">
        <v>2</v>
      </c>
      <c r="D77">
        <v>2</v>
      </c>
      <c r="E77">
        <v>4</v>
      </c>
    </row>
    <row r="78" spans="1:5">
      <c r="A78">
        <v>4</v>
      </c>
      <c r="B78">
        <v>1</v>
      </c>
      <c r="C78">
        <v>3</v>
      </c>
      <c r="D78">
        <v>1</v>
      </c>
      <c r="E78">
        <v>4</v>
      </c>
    </row>
    <row r="79" spans="1:5">
      <c r="A79">
        <v>4</v>
      </c>
      <c r="B79">
        <v>1</v>
      </c>
      <c r="C79">
        <v>3</v>
      </c>
      <c r="D79">
        <v>2</v>
      </c>
      <c r="E79">
        <v>5</v>
      </c>
    </row>
    <row r="80" spans="1:5">
      <c r="A80">
        <v>4</v>
      </c>
      <c r="B80">
        <v>1</v>
      </c>
      <c r="C80">
        <v>4</v>
      </c>
      <c r="D80">
        <v>1</v>
      </c>
      <c r="E80">
        <v>5</v>
      </c>
    </row>
    <row r="81" spans="1:5">
      <c r="A81">
        <v>4</v>
      </c>
      <c r="B81">
        <v>1</v>
      </c>
      <c r="C81">
        <v>4</v>
      </c>
      <c r="D81">
        <v>2</v>
      </c>
      <c r="E81">
        <v>5</v>
      </c>
    </row>
    <row r="82" spans="1:5">
      <c r="A82">
        <v>4</v>
      </c>
      <c r="B82">
        <v>2</v>
      </c>
      <c r="C82">
        <v>1</v>
      </c>
      <c r="D82">
        <v>1</v>
      </c>
      <c r="E82">
        <v>4</v>
      </c>
    </row>
    <row r="83" spans="1:5">
      <c r="A83">
        <v>4</v>
      </c>
      <c r="B83">
        <v>2</v>
      </c>
      <c r="C83">
        <v>1</v>
      </c>
      <c r="D83">
        <v>2</v>
      </c>
      <c r="E83">
        <v>4</v>
      </c>
    </row>
    <row r="84" spans="1:5">
      <c r="A84">
        <v>4</v>
      </c>
      <c r="B84">
        <v>2</v>
      </c>
      <c r="C84">
        <v>2</v>
      </c>
      <c r="D84">
        <v>1</v>
      </c>
      <c r="E84">
        <v>4</v>
      </c>
    </row>
    <row r="85" spans="1:5">
      <c r="A85">
        <v>4</v>
      </c>
      <c r="B85">
        <v>2</v>
      </c>
      <c r="C85">
        <v>2</v>
      </c>
      <c r="D85">
        <v>2</v>
      </c>
      <c r="E85">
        <v>4</v>
      </c>
    </row>
    <row r="86" spans="1:5">
      <c r="A86">
        <v>4</v>
      </c>
      <c r="B86">
        <v>2</v>
      </c>
      <c r="C86">
        <v>3</v>
      </c>
      <c r="D86">
        <v>1</v>
      </c>
      <c r="E86">
        <v>4</v>
      </c>
    </row>
    <row r="87" spans="1:5">
      <c r="A87">
        <v>4</v>
      </c>
      <c r="B87">
        <v>2</v>
      </c>
      <c r="C87">
        <v>3</v>
      </c>
      <c r="D87">
        <v>2</v>
      </c>
      <c r="E87">
        <v>5</v>
      </c>
    </row>
    <row r="88" spans="1:5">
      <c r="A88">
        <v>4</v>
      </c>
      <c r="B88">
        <v>2</v>
      </c>
      <c r="C88">
        <v>4</v>
      </c>
      <c r="D88">
        <v>1</v>
      </c>
      <c r="E88">
        <v>5</v>
      </c>
    </row>
    <row r="89" spans="1:5">
      <c r="A89">
        <v>4</v>
      </c>
      <c r="B89">
        <v>2</v>
      </c>
      <c r="C89">
        <v>4</v>
      </c>
      <c r="D89">
        <v>2</v>
      </c>
      <c r="E89">
        <v>5</v>
      </c>
    </row>
    <row r="90" spans="1:5">
      <c r="A90">
        <v>4</v>
      </c>
      <c r="B90">
        <v>3</v>
      </c>
      <c r="C90">
        <v>1</v>
      </c>
      <c r="D90">
        <v>1</v>
      </c>
      <c r="E90">
        <v>4</v>
      </c>
    </row>
    <row r="91" spans="1:5">
      <c r="A91">
        <v>4</v>
      </c>
      <c r="B91">
        <v>3</v>
      </c>
      <c r="C91">
        <v>1</v>
      </c>
      <c r="D91">
        <v>2</v>
      </c>
      <c r="E91">
        <v>4</v>
      </c>
    </row>
    <row r="92" spans="1:5">
      <c r="A92">
        <v>4</v>
      </c>
      <c r="B92">
        <v>3</v>
      </c>
      <c r="C92">
        <v>2</v>
      </c>
      <c r="D92">
        <v>1</v>
      </c>
      <c r="E92">
        <v>4</v>
      </c>
    </row>
    <row r="93" spans="1:5">
      <c r="A93">
        <v>4</v>
      </c>
      <c r="B93">
        <v>3</v>
      </c>
      <c r="C93">
        <v>2</v>
      </c>
      <c r="D93">
        <v>2</v>
      </c>
      <c r="E93">
        <v>5</v>
      </c>
    </row>
    <row r="94" spans="1:5">
      <c r="A94">
        <v>4</v>
      </c>
      <c r="B94">
        <v>3</v>
      </c>
      <c r="C94">
        <v>3</v>
      </c>
      <c r="D94">
        <v>1</v>
      </c>
      <c r="E94">
        <v>5</v>
      </c>
    </row>
    <row r="95" spans="1:5">
      <c r="A95">
        <v>4</v>
      </c>
      <c r="B95">
        <v>3</v>
      </c>
      <c r="C95">
        <v>3</v>
      </c>
      <c r="D95">
        <v>2</v>
      </c>
      <c r="E95">
        <v>5</v>
      </c>
    </row>
    <row r="96" spans="1:5">
      <c r="A96">
        <v>4</v>
      </c>
      <c r="B96">
        <v>3</v>
      </c>
      <c r="C96">
        <v>4</v>
      </c>
      <c r="D96">
        <v>1</v>
      </c>
      <c r="E96">
        <v>6</v>
      </c>
    </row>
    <row r="97" spans="1:5">
      <c r="A97">
        <v>4</v>
      </c>
      <c r="B97">
        <v>3</v>
      </c>
      <c r="C97">
        <v>4</v>
      </c>
      <c r="D97">
        <v>2</v>
      </c>
      <c r="E97">
        <v>6</v>
      </c>
    </row>
    <row r="98" spans="1:5">
      <c r="A98">
        <v>5</v>
      </c>
      <c r="B98">
        <v>1</v>
      </c>
      <c r="C98">
        <v>1</v>
      </c>
      <c r="D98">
        <v>1</v>
      </c>
      <c r="E98">
        <v>5</v>
      </c>
    </row>
    <row r="99" spans="1:5">
      <c r="A99">
        <v>5</v>
      </c>
      <c r="B99">
        <v>1</v>
      </c>
      <c r="C99">
        <v>1</v>
      </c>
      <c r="D99">
        <v>2</v>
      </c>
      <c r="E99">
        <v>5</v>
      </c>
    </row>
    <row r="100" spans="1:5">
      <c r="A100">
        <v>5</v>
      </c>
      <c r="B100">
        <v>1</v>
      </c>
      <c r="C100">
        <v>2</v>
      </c>
      <c r="D100">
        <v>1</v>
      </c>
      <c r="E100">
        <v>5</v>
      </c>
    </row>
    <row r="101" spans="1:5">
      <c r="A101">
        <v>5</v>
      </c>
      <c r="B101">
        <v>1</v>
      </c>
      <c r="C101">
        <v>2</v>
      </c>
      <c r="D101">
        <v>2</v>
      </c>
      <c r="E101">
        <v>5</v>
      </c>
    </row>
    <row r="102" spans="1:5">
      <c r="A102">
        <v>5</v>
      </c>
      <c r="B102">
        <v>1</v>
      </c>
      <c r="C102">
        <v>3</v>
      </c>
      <c r="D102">
        <v>1</v>
      </c>
      <c r="E102">
        <v>5</v>
      </c>
    </row>
    <row r="103" spans="1:5">
      <c r="A103">
        <v>5</v>
      </c>
      <c r="B103">
        <v>1</v>
      </c>
      <c r="C103">
        <v>3</v>
      </c>
      <c r="D103">
        <v>2</v>
      </c>
      <c r="E103">
        <v>6</v>
      </c>
    </row>
    <row r="104" spans="1:5">
      <c r="A104">
        <v>5</v>
      </c>
      <c r="B104">
        <v>1</v>
      </c>
      <c r="C104">
        <v>4</v>
      </c>
      <c r="D104">
        <v>1</v>
      </c>
      <c r="E104">
        <v>6</v>
      </c>
    </row>
    <row r="105" spans="1:5">
      <c r="A105">
        <v>5</v>
      </c>
      <c r="B105">
        <v>1</v>
      </c>
      <c r="C105">
        <v>4</v>
      </c>
      <c r="D105">
        <v>2</v>
      </c>
      <c r="E105">
        <v>7</v>
      </c>
    </row>
    <row r="106" spans="1:5">
      <c r="A106">
        <v>5</v>
      </c>
      <c r="B106">
        <v>2</v>
      </c>
      <c r="C106">
        <v>1</v>
      </c>
      <c r="D106">
        <v>1</v>
      </c>
      <c r="E106">
        <v>5</v>
      </c>
    </row>
    <row r="107" spans="1:5">
      <c r="A107">
        <v>5</v>
      </c>
      <c r="B107">
        <v>2</v>
      </c>
      <c r="C107">
        <v>1</v>
      </c>
      <c r="D107">
        <v>2</v>
      </c>
      <c r="E107">
        <v>6</v>
      </c>
    </row>
    <row r="108" spans="1:5">
      <c r="A108">
        <v>5</v>
      </c>
      <c r="B108">
        <v>2</v>
      </c>
      <c r="C108">
        <v>2</v>
      </c>
      <c r="D108">
        <v>1</v>
      </c>
      <c r="E108">
        <v>6</v>
      </c>
    </row>
    <row r="109" spans="1:5">
      <c r="A109">
        <v>5</v>
      </c>
      <c r="B109">
        <v>2</v>
      </c>
      <c r="C109">
        <v>2</v>
      </c>
      <c r="D109">
        <v>2</v>
      </c>
      <c r="E109">
        <v>6</v>
      </c>
    </row>
    <row r="110" spans="1:5">
      <c r="A110">
        <v>5</v>
      </c>
      <c r="B110">
        <v>2</v>
      </c>
      <c r="C110">
        <v>3</v>
      </c>
      <c r="D110">
        <v>1</v>
      </c>
      <c r="E110">
        <v>6</v>
      </c>
    </row>
    <row r="111" spans="1:5">
      <c r="A111">
        <v>5</v>
      </c>
      <c r="B111">
        <v>2</v>
      </c>
      <c r="C111">
        <v>3</v>
      </c>
      <c r="D111">
        <v>2</v>
      </c>
      <c r="E111">
        <v>7</v>
      </c>
    </row>
    <row r="112" spans="1:5">
      <c r="A112">
        <v>5</v>
      </c>
      <c r="B112">
        <v>2</v>
      </c>
      <c r="C112">
        <v>4</v>
      </c>
      <c r="D112">
        <v>1</v>
      </c>
      <c r="E112">
        <v>7</v>
      </c>
    </row>
    <row r="113" spans="1:5">
      <c r="A113">
        <v>5</v>
      </c>
      <c r="B113">
        <v>2</v>
      </c>
      <c r="C113">
        <v>4</v>
      </c>
      <c r="D113">
        <v>2</v>
      </c>
      <c r="E113">
        <v>7</v>
      </c>
    </row>
    <row r="114" spans="1:5">
      <c r="A114">
        <v>5</v>
      </c>
      <c r="B114">
        <v>3</v>
      </c>
      <c r="C114">
        <v>1</v>
      </c>
      <c r="D114">
        <v>1</v>
      </c>
      <c r="E114">
        <v>6</v>
      </c>
    </row>
    <row r="115" spans="1:5">
      <c r="A115">
        <v>5</v>
      </c>
      <c r="B115">
        <v>3</v>
      </c>
      <c r="C115">
        <v>1</v>
      </c>
      <c r="D115">
        <v>2</v>
      </c>
      <c r="E115">
        <v>6</v>
      </c>
    </row>
    <row r="116" spans="1:5">
      <c r="A116">
        <v>5</v>
      </c>
      <c r="B116">
        <v>3</v>
      </c>
      <c r="C116">
        <v>2</v>
      </c>
      <c r="D116">
        <v>1</v>
      </c>
      <c r="E116">
        <v>6</v>
      </c>
    </row>
    <row r="117" spans="1:5">
      <c r="A117">
        <v>5</v>
      </c>
      <c r="B117">
        <v>3</v>
      </c>
      <c r="C117">
        <v>2</v>
      </c>
      <c r="D117">
        <v>2</v>
      </c>
      <c r="E117">
        <v>7</v>
      </c>
    </row>
    <row r="118" spans="1:5">
      <c r="A118">
        <v>5</v>
      </c>
      <c r="B118">
        <v>3</v>
      </c>
      <c r="C118">
        <v>3</v>
      </c>
      <c r="D118">
        <v>1</v>
      </c>
      <c r="E118">
        <v>7</v>
      </c>
    </row>
    <row r="119" spans="1:5">
      <c r="A119">
        <v>5</v>
      </c>
      <c r="B119">
        <v>3</v>
      </c>
      <c r="C119">
        <v>3</v>
      </c>
      <c r="D119">
        <v>2</v>
      </c>
      <c r="E119">
        <v>7</v>
      </c>
    </row>
    <row r="120" spans="1:5">
      <c r="A120">
        <v>5</v>
      </c>
      <c r="B120">
        <v>3</v>
      </c>
      <c r="C120">
        <v>4</v>
      </c>
      <c r="D120">
        <v>1</v>
      </c>
      <c r="E120">
        <v>7</v>
      </c>
    </row>
    <row r="121" spans="1:5">
      <c r="A121">
        <v>5</v>
      </c>
      <c r="B121">
        <v>3</v>
      </c>
      <c r="C121">
        <v>4</v>
      </c>
      <c r="D121">
        <v>2</v>
      </c>
      <c r="E121">
        <v>8</v>
      </c>
    </row>
    <row r="122" spans="1:5">
      <c r="A122">
        <v>6</v>
      </c>
      <c r="B122">
        <v>1</v>
      </c>
      <c r="C122">
        <v>1</v>
      </c>
      <c r="D122">
        <v>1</v>
      </c>
      <c r="E122">
        <v>7</v>
      </c>
    </row>
    <row r="123" spans="1:5">
      <c r="A123">
        <v>6</v>
      </c>
      <c r="B123">
        <v>1</v>
      </c>
      <c r="C123">
        <v>1</v>
      </c>
      <c r="D123">
        <v>2</v>
      </c>
      <c r="E123">
        <v>7</v>
      </c>
    </row>
    <row r="124" spans="1:5">
      <c r="A124">
        <v>6</v>
      </c>
      <c r="B124">
        <v>1</v>
      </c>
      <c r="C124">
        <v>2</v>
      </c>
      <c r="D124">
        <v>1</v>
      </c>
      <c r="E124">
        <v>7</v>
      </c>
    </row>
    <row r="125" spans="1:5">
      <c r="A125">
        <v>6</v>
      </c>
      <c r="B125">
        <v>1</v>
      </c>
      <c r="C125">
        <v>2</v>
      </c>
      <c r="D125">
        <v>2</v>
      </c>
      <c r="E125">
        <v>7</v>
      </c>
    </row>
    <row r="126" spans="1:5">
      <c r="A126">
        <v>6</v>
      </c>
      <c r="B126">
        <v>1</v>
      </c>
      <c r="C126">
        <v>3</v>
      </c>
      <c r="D126">
        <v>1</v>
      </c>
      <c r="E126">
        <v>7</v>
      </c>
    </row>
    <row r="127" spans="1:5">
      <c r="A127">
        <v>6</v>
      </c>
      <c r="B127">
        <v>1</v>
      </c>
      <c r="C127">
        <v>3</v>
      </c>
      <c r="D127">
        <v>2</v>
      </c>
      <c r="E127">
        <v>8</v>
      </c>
    </row>
    <row r="128" spans="1:5">
      <c r="A128">
        <v>6</v>
      </c>
      <c r="B128">
        <v>1</v>
      </c>
      <c r="C128">
        <v>4</v>
      </c>
      <c r="D128">
        <v>1</v>
      </c>
      <c r="E128">
        <v>8</v>
      </c>
    </row>
    <row r="129" spans="1:5">
      <c r="A129">
        <v>6</v>
      </c>
      <c r="B129">
        <v>1</v>
      </c>
      <c r="C129">
        <v>4</v>
      </c>
      <c r="D129">
        <v>2</v>
      </c>
      <c r="E129">
        <v>9</v>
      </c>
    </row>
    <row r="130" spans="1:5">
      <c r="A130">
        <v>6</v>
      </c>
      <c r="B130">
        <v>2</v>
      </c>
      <c r="C130">
        <v>1</v>
      </c>
      <c r="D130">
        <v>1</v>
      </c>
      <c r="E130">
        <v>8</v>
      </c>
    </row>
    <row r="131" spans="1:5">
      <c r="A131">
        <v>6</v>
      </c>
      <c r="B131">
        <v>2</v>
      </c>
      <c r="C131">
        <v>1</v>
      </c>
      <c r="D131">
        <v>2</v>
      </c>
      <c r="E131">
        <v>8</v>
      </c>
    </row>
    <row r="132" spans="1:5">
      <c r="A132">
        <v>6</v>
      </c>
      <c r="B132">
        <v>2</v>
      </c>
      <c r="C132">
        <v>2</v>
      </c>
      <c r="D132">
        <v>1</v>
      </c>
      <c r="E132">
        <v>8</v>
      </c>
    </row>
    <row r="133" spans="1:5">
      <c r="A133">
        <v>6</v>
      </c>
      <c r="B133">
        <v>2</v>
      </c>
      <c r="C133">
        <v>2</v>
      </c>
      <c r="D133">
        <v>2</v>
      </c>
      <c r="E133">
        <v>8</v>
      </c>
    </row>
    <row r="134" spans="1:5">
      <c r="A134">
        <v>6</v>
      </c>
      <c r="B134">
        <v>2</v>
      </c>
      <c r="C134">
        <v>3</v>
      </c>
      <c r="D134">
        <v>1</v>
      </c>
      <c r="E134">
        <v>8</v>
      </c>
    </row>
    <row r="135" spans="1:5">
      <c r="A135">
        <v>6</v>
      </c>
      <c r="B135">
        <v>2</v>
      </c>
      <c r="C135">
        <v>3</v>
      </c>
      <c r="D135">
        <v>2</v>
      </c>
      <c r="E135">
        <v>9</v>
      </c>
    </row>
    <row r="136" spans="1:5">
      <c r="A136">
        <v>6</v>
      </c>
      <c r="B136">
        <v>2</v>
      </c>
      <c r="C136">
        <v>4</v>
      </c>
      <c r="D136">
        <v>1</v>
      </c>
      <c r="E136">
        <v>9</v>
      </c>
    </row>
    <row r="137" spans="1:5">
      <c r="A137">
        <v>6</v>
      </c>
      <c r="B137">
        <v>2</v>
      </c>
      <c r="C137">
        <v>4</v>
      </c>
      <c r="D137">
        <v>2</v>
      </c>
      <c r="E137">
        <v>9</v>
      </c>
    </row>
    <row r="138" spans="1:5">
      <c r="A138">
        <v>6</v>
      </c>
      <c r="B138">
        <v>3</v>
      </c>
      <c r="C138">
        <v>1</v>
      </c>
      <c r="D138">
        <v>1</v>
      </c>
      <c r="E138">
        <v>9</v>
      </c>
    </row>
    <row r="139" spans="1:5">
      <c r="A139">
        <v>6</v>
      </c>
      <c r="B139">
        <v>3</v>
      </c>
      <c r="C139">
        <v>1</v>
      </c>
      <c r="D139">
        <v>2</v>
      </c>
      <c r="E139">
        <v>9</v>
      </c>
    </row>
    <row r="140" spans="1:5">
      <c r="A140">
        <v>6</v>
      </c>
      <c r="B140">
        <v>3</v>
      </c>
      <c r="C140">
        <v>2</v>
      </c>
      <c r="D140">
        <v>1</v>
      </c>
      <c r="E140">
        <v>9</v>
      </c>
    </row>
    <row r="141" spans="1:5">
      <c r="A141">
        <v>6</v>
      </c>
      <c r="B141">
        <v>3</v>
      </c>
      <c r="C141">
        <v>2</v>
      </c>
      <c r="D141">
        <v>2</v>
      </c>
      <c r="E141">
        <v>9</v>
      </c>
    </row>
    <row r="142" spans="1:5">
      <c r="A142">
        <v>6</v>
      </c>
      <c r="B142">
        <v>3</v>
      </c>
      <c r="C142">
        <v>3</v>
      </c>
      <c r="D142">
        <v>1</v>
      </c>
      <c r="E142">
        <v>9</v>
      </c>
    </row>
    <row r="143" spans="1:5">
      <c r="A143">
        <v>6</v>
      </c>
      <c r="B143">
        <v>3</v>
      </c>
      <c r="C143">
        <v>3</v>
      </c>
      <c r="D143">
        <v>2</v>
      </c>
      <c r="E143">
        <v>9</v>
      </c>
    </row>
    <row r="144" spans="1:5">
      <c r="A144">
        <v>6</v>
      </c>
      <c r="B144">
        <v>3</v>
      </c>
      <c r="C144">
        <v>4</v>
      </c>
      <c r="D144">
        <v>1</v>
      </c>
      <c r="E144">
        <v>9</v>
      </c>
    </row>
    <row r="145" spans="1:5">
      <c r="A145">
        <v>6</v>
      </c>
      <c r="B145">
        <v>3</v>
      </c>
      <c r="C145">
        <v>4</v>
      </c>
      <c r="D145">
        <v>2</v>
      </c>
      <c r="E145">
        <v>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FA0C-1AF5-40C2-B9F9-662074E0DD78}">
  <dimension ref="A1:D73"/>
  <sheetViews>
    <sheetView workbookViewId="0">
      <selection activeCell="A18" sqref="A18:M18"/>
    </sheetView>
  </sheetViews>
  <sheetFormatPr defaultRowHeight="16.5"/>
  <sheetData>
    <row r="1" spans="1:4">
      <c r="A1" t="s">
        <v>151</v>
      </c>
      <c r="B1" t="s">
        <v>187</v>
      </c>
      <c r="C1" t="s">
        <v>188</v>
      </c>
      <c r="D1" t="s">
        <v>207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1</v>
      </c>
      <c r="B3">
        <v>1</v>
      </c>
      <c r="C3">
        <v>2</v>
      </c>
      <c r="D3">
        <v>3</v>
      </c>
    </row>
    <row r="4" spans="1:4">
      <c r="A4">
        <v>1</v>
      </c>
      <c r="B4">
        <v>2</v>
      </c>
      <c r="C4">
        <v>1</v>
      </c>
      <c r="D4">
        <v>2</v>
      </c>
    </row>
    <row r="5" spans="1:4">
      <c r="A5">
        <v>1</v>
      </c>
      <c r="B5">
        <v>2</v>
      </c>
      <c r="C5">
        <v>2</v>
      </c>
      <c r="D5">
        <v>3</v>
      </c>
    </row>
    <row r="6" spans="1:4">
      <c r="A6">
        <v>1</v>
      </c>
      <c r="B6">
        <v>3</v>
      </c>
      <c r="C6">
        <v>1</v>
      </c>
      <c r="D6">
        <v>3</v>
      </c>
    </row>
    <row r="7" spans="1:4">
      <c r="A7">
        <v>1</v>
      </c>
      <c r="B7">
        <v>3</v>
      </c>
      <c r="C7">
        <v>2</v>
      </c>
      <c r="D7">
        <v>4</v>
      </c>
    </row>
    <row r="8" spans="1:4">
      <c r="A8">
        <v>1</v>
      </c>
      <c r="B8">
        <v>4</v>
      </c>
      <c r="C8">
        <v>1</v>
      </c>
      <c r="D8">
        <v>5</v>
      </c>
    </row>
    <row r="9" spans="1:4">
      <c r="A9">
        <v>1</v>
      </c>
      <c r="B9">
        <v>4</v>
      </c>
      <c r="C9">
        <v>2</v>
      </c>
      <c r="D9">
        <v>5</v>
      </c>
    </row>
    <row r="10" spans="1:4">
      <c r="A10">
        <v>1</v>
      </c>
      <c r="B10">
        <v>5</v>
      </c>
      <c r="C10">
        <v>1</v>
      </c>
      <c r="D10">
        <v>6</v>
      </c>
    </row>
    <row r="11" spans="1:4">
      <c r="A11">
        <v>1</v>
      </c>
      <c r="B11">
        <v>5</v>
      </c>
      <c r="C11">
        <v>2</v>
      </c>
      <c r="D11">
        <v>6</v>
      </c>
    </row>
    <row r="12" spans="1:4">
      <c r="A12">
        <v>1</v>
      </c>
      <c r="B12">
        <v>6</v>
      </c>
      <c r="C12">
        <v>1</v>
      </c>
      <c r="D12">
        <v>7</v>
      </c>
    </row>
    <row r="13" spans="1:4">
      <c r="A13">
        <v>1</v>
      </c>
      <c r="B13">
        <v>6</v>
      </c>
      <c r="C13">
        <v>2</v>
      </c>
      <c r="D13">
        <v>7</v>
      </c>
    </row>
    <row r="14" spans="1:4">
      <c r="A14">
        <v>2</v>
      </c>
      <c r="B14">
        <v>1</v>
      </c>
      <c r="C14">
        <v>1</v>
      </c>
      <c r="D14">
        <v>2</v>
      </c>
    </row>
    <row r="15" spans="1:4">
      <c r="A15">
        <v>2</v>
      </c>
      <c r="B15">
        <v>1</v>
      </c>
      <c r="C15">
        <v>2</v>
      </c>
      <c r="D15">
        <v>3</v>
      </c>
    </row>
    <row r="16" spans="1:4">
      <c r="A16">
        <v>2</v>
      </c>
      <c r="B16">
        <v>2</v>
      </c>
      <c r="C16">
        <v>1</v>
      </c>
      <c r="D16">
        <v>2</v>
      </c>
    </row>
    <row r="17" spans="1:4">
      <c r="A17">
        <v>2</v>
      </c>
      <c r="B17">
        <v>2</v>
      </c>
      <c r="C17">
        <v>2</v>
      </c>
      <c r="D17">
        <v>3</v>
      </c>
    </row>
    <row r="18" spans="1:4">
      <c r="A18">
        <v>2</v>
      </c>
      <c r="B18">
        <v>3</v>
      </c>
      <c r="C18">
        <v>1</v>
      </c>
      <c r="D18">
        <v>4</v>
      </c>
    </row>
    <row r="19" spans="1:4">
      <c r="A19">
        <v>2</v>
      </c>
      <c r="B19">
        <v>3</v>
      </c>
      <c r="C19">
        <v>2</v>
      </c>
      <c r="D19">
        <v>5</v>
      </c>
    </row>
    <row r="20" spans="1:4">
      <c r="A20">
        <v>2</v>
      </c>
      <c r="B20">
        <v>4</v>
      </c>
      <c r="C20">
        <v>1</v>
      </c>
      <c r="D20">
        <v>5</v>
      </c>
    </row>
    <row r="21" spans="1:4">
      <c r="A21">
        <v>2</v>
      </c>
      <c r="B21">
        <v>4</v>
      </c>
      <c r="C21">
        <v>2</v>
      </c>
      <c r="D21">
        <v>5</v>
      </c>
    </row>
    <row r="22" spans="1:4">
      <c r="A22">
        <v>2</v>
      </c>
      <c r="B22">
        <v>5</v>
      </c>
      <c r="C22">
        <v>1</v>
      </c>
      <c r="D22">
        <v>6</v>
      </c>
    </row>
    <row r="23" spans="1:4">
      <c r="A23">
        <v>2</v>
      </c>
      <c r="B23">
        <v>5</v>
      </c>
      <c r="C23">
        <v>2</v>
      </c>
      <c r="D23">
        <v>7</v>
      </c>
    </row>
    <row r="24" spans="1:4">
      <c r="A24">
        <v>2</v>
      </c>
      <c r="B24">
        <v>6</v>
      </c>
      <c r="C24">
        <v>1</v>
      </c>
      <c r="D24">
        <v>7</v>
      </c>
    </row>
    <row r="25" spans="1:4">
      <c r="A25">
        <v>2</v>
      </c>
      <c r="B25">
        <v>6</v>
      </c>
      <c r="C25">
        <v>2</v>
      </c>
      <c r="D25">
        <v>7</v>
      </c>
    </row>
    <row r="26" spans="1:4">
      <c r="A26">
        <v>3</v>
      </c>
      <c r="B26">
        <v>1</v>
      </c>
      <c r="C26">
        <v>1</v>
      </c>
      <c r="D26">
        <v>3</v>
      </c>
    </row>
    <row r="27" spans="1:4">
      <c r="A27">
        <v>3</v>
      </c>
      <c r="B27">
        <v>1</v>
      </c>
      <c r="C27">
        <v>2</v>
      </c>
      <c r="D27">
        <v>3</v>
      </c>
    </row>
    <row r="28" spans="1:4">
      <c r="A28">
        <v>3</v>
      </c>
      <c r="B28">
        <v>2</v>
      </c>
      <c r="C28">
        <v>1</v>
      </c>
      <c r="D28">
        <v>3</v>
      </c>
    </row>
    <row r="29" spans="1:4">
      <c r="A29">
        <v>3</v>
      </c>
      <c r="B29">
        <v>2</v>
      </c>
      <c r="C29">
        <v>2</v>
      </c>
      <c r="D29">
        <v>4</v>
      </c>
    </row>
    <row r="30" spans="1:4">
      <c r="A30">
        <v>3</v>
      </c>
      <c r="B30">
        <v>3</v>
      </c>
      <c r="C30">
        <v>1</v>
      </c>
      <c r="D30">
        <v>4</v>
      </c>
    </row>
    <row r="31" spans="1:4">
      <c r="A31">
        <v>3</v>
      </c>
      <c r="B31">
        <v>3</v>
      </c>
      <c r="C31">
        <v>2</v>
      </c>
      <c r="D31">
        <v>5</v>
      </c>
    </row>
    <row r="32" spans="1:4">
      <c r="A32">
        <v>3</v>
      </c>
      <c r="B32">
        <v>4</v>
      </c>
      <c r="C32">
        <v>1</v>
      </c>
      <c r="D32">
        <v>5</v>
      </c>
    </row>
    <row r="33" spans="1:4">
      <c r="A33">
        <v>3</v>
      </c>
      <c r="B33">
        <v>4</v>
      </c>
      <c r="C33">
        <v>2</v>
      </c>
      <c r="D33">
        <v>6</v>
      </c>
    </row>
    <row r="34" spans="1:4">
      <c r="A34">
        <v>3</v>
      </c>
      <c r="B34">
        <v>5</v>
      </c>
      <c r="C34">
        <v>1</v>
      </c>
      <c r="D34">
        <v>6</v>
      </c>
    </row>
    <row r="35" spans="1:4">
      <c r="A35">
        <v>3</v>
      </c>
      <c r="B35">
        <v>5</v>
      </c>
      <c r="C35">
        <v>2</v>
      </c>
      <c r="D35">
        <v>7</v>
      </c>
    </row>
    <row r="36" spans="1:4">
      <c r="A36">
        <v>3</v>
      </c>
      <c r="B36">
        <v>6</v>
      </c>
      <c r="C36">
        <v>1</v>
      </c>
      <c r="D36">
        <v>7</v>
      </c>
    </row>
    <row r="37" spans="1:4">
      <c r="A37">
        <v>3</v>
      </c>
      <c r="B37">
        <v>6</v>
      </c>
      <c r="C37">
        <v>2</v>
      </c>
      <c r="D37">
        <v>7</v>
      </c>
    </row>
    <row r="38" spans="1:4">
      <c r="A38">
        <v>4</v>
      </c>
      <c r="B38">
        <v>1</v>
      </c>
      <c r="C38">
        <v>1</v>
      </c>
      <c r="D38">
        <v>5</v>
      </c>
    </row>
    <row r="39" spans="1:4">
      <c r="A39">
        <v>4</v>
      </c>
      <c r="B39">
        <v>1</v>
      </c>
      <c r="C39">
        <v>2</v>
      </c>
      <c r="D39">
        <v>5</v>
      </c>
    </row>
    <row r="40" spans="1:4">
      <c r="A40">
        <v>4</v>
      </c>
      <c r="B40">
        <v>2</v>
      </c>
      <c r="C40">
        <v>1</v>
      </c>
      <c r="D40">
        <v>5</v>
      </c>
    </row>
    <row r="41" spans="1:4">
      <c r="A41">
        <v>4</v>
      </c>
      <c r="B41">
        <v>2</v>
      </c>
      <c r="C41">
        <v>2</v>
      </c>
      <c r="D41">
        <v>6</v>
      </c>
    </row>
    <row r="42" spans="1:4">
      <c r="A42">
        <v>4</v>
      </c>
      <c r="B42">
        <v>3</v>
      </c>
      <c r="C42">
        <v>1</v>
      </c>
      <c r="D42">
        <v>6</v>
      </c>
    </row>
    <row r="43" spans="1:4">
      <c r="A43">
        <v>4</v>
      </c>
      <c r="B43">
        <v>3</v>
      </c>
      <c r="C43">
        <v>2</v>
      </c>
      <c r="D43">
        <v>7</v>
      </c>
    </row>
    <row r="44" spans="1:4">
      <c r="A44">
        <v>4</v>
      </c>
      <c r="B44">
        <v>4</v>
      </c>
      <c r="C44">
        <v>1</v>
      </c>
      <c r="D44">
        <v>7</v>
      </c>
    </row>
    <row r="45" spans="1:4">
      <c r="A45">
        <v>4</v>
      </c>
      <c r="B45">
        <v>4</v>
      </c>
      <c r="C45">
        <v>2</v>
      </c>
      <c r="D45">
        <v>7</v>
      </c>
    </row>
    <row r="46" spans="1:4">
      <c r="A46">
        <v>4</v>
      </c>
      <c r="B46">
        <v>5</v>
      </c>
      <c r="C46">
        <v>1</v>
      </c>
      <c r="D46">
        <v>7</v>
      </c>
    </row>
    <row r="47" spans="1:4">
      <c r="A47">
        <v>4</v>
      </c>
      <c r="B47">
        <v>5</v>
      </c>
      <c r="C47">
        <v>2</v>
      </c>
      <c r="D47">
        <v>7</v>
      </c>
    </row>
    <row r="48" spans="1:4">
      <c r="A48">
        <v>4</v>
      </c>
      <c r="B48">
        <v>6</v>
      </c>
      <c r="C48">
        <v>1</v>
      </c>
      <c r="D48">
        <v>8</v>
      </c>
    </row>
    <row r="49" spans="1:4">
      <c r="A49">
        <v>4</v>
      </c>
      <c r="B49">
        <v>6</v>
      </c>
      <c r="C49">
        <v>2</v>
      </c>
      <c r="D49">
        <v>8</v>
      </c>
    </row>
    <row r="50" spans="1:4">
      <c r="A50">
        <v>5</v>
      </c>
      <c r="B50">
        <v>1</v>
      </c>
      <c r="C50">
        <v>1</v>
      </c>
      <c r="D50">
        <v>7</v>
      </c>
    </row>
    <row r="51" spans="1:4">
      <c r="A51">
        <v>5</v>
      </c>
      <c r="B51">
        <v>1</v>
      </c>
      <c r="C51">
        <v>2</v>
      </c>
      <c r="D51">
        <v>7</v>
      </c>
    </row>
    <row r="52" spans="1:4">
      <c r="A52">
        <v>5</v>
      </c>
      <c r="B52">
        <v>2</v>
      </c>
      <c r="C52">
        <v>1</v>
      </c>
      <c r="D52">
        <v>7</v>
      </c>
    </row>
    <row r="53" spans="1:4">
      <c r="A53">
        <v>5</v>
      </c>
      <c r="B53">
        <v>2</v>
      </c>
      <c r="C53">
        <v>2</v>
      </c>
      <c r="D53">
        <v>7</v>
      </c>
    </row>
    <row r="54" spans="1:4">
      <c r="A54">
        <v>5</v>
      </c>
      <c r="B54">
        <v>3</v>
      </c>
      <c r="C54">
        <v>1</v>
      </c>
      <c r="D54">
        <v>7</v>
      </c>
    </row>
    <row r="55" spans="1:4">
      <c r="A55">
        <v>5</v>
      </c>
      <c r="B55">
        <v>3</v>
      </c>
      <c r="C55">
        <v>2</v>
      </c>
      <c r="D55">
        <v>8</v>
      </c>
    </row>
    <row r="56" spans="1:4">
      <c r="A56">
        <v>5</v>
      </c>
      <c r="B56">
        <v>4</v>
      </c>
      <c r="C56">
        <v>1</v>
      </c>
      <c r="D56">
        <v>8</v>
      </c>
    </row>
    <row r="57" spans="1:4">
      <c r="A57">
        <v>5</v>
      </c>
      <c r="B57">
        <v>4</v>
      </c>
      <c r="C57">
        <v>2</v>
      </c>
      <c r="D57">
        <v>8</v>
      </c>
    </row>
    <row r="58" spans="1:4">
      <c r="A58">
        <v>5</v>
      </c>
      <c r="B58">
        <v>5</v>
      </c>
      <c r="C58">
        <v>1</v>
      </c>
      <c r="D58">
        <v>8</v>
      </c>
    </row>
    <row r="59" spans="1:4">
      <c r="A59">
        <v>5</v>
      </c>
      <c r="B59">
        <v>5</v>
      </c>
      <c r="C59">
        <v>2</v>
      </c>
      <c r="D59">
        <v>8</v>
      </c>
    </row>
    <row r="60" spans="1:4">
      <c r="A60">
        <v>5</v>
      </c>
      <c r="B60">
        <v>6</v>
      </c>
      <c r="C60">
        <v>1</v>
      </c>
      <c r="D60">
        <v>8</v>
      </c>
    </row>
    <row r="61" spans="1:4">
      <c r="A61">
        <v>5</v>
      </c>
      <c r="B61">
        <v>6</v>
      </c>
      <c r="C61">
        <v>2</v>
      </c>
      <c r="D61">
        <v>8</v>
      </c>
    </row>
    <row r="62" spans="1:4">
      <c r="A62">
        <v>6</v>
      </c>
      <c r="B62">
        <v>1</v>
      </c>
      <c r="C62">
        <v>1</v>
      </c>
      <c r="D62">
        <v>8</v>
      </c>
    </row>
    <row r="63" spans="1:4">
      <c r="A63">
        <v>6</v>
      </c>
      <c r="B63">
        <v>1</v>
      </c>
      <c r="C63">
        <v>2</v>
      </c>
      <c r="D63">
        <v>8</v>
      </c>
    </row>
    <row r="64" spans="1:4">
      <c r="A64">
        <v>6</v>
      </c>
      <c r="B64">
        <v>2</v>
      </c>
      <c r="C64">
        <v>1</v>
      </c>
      <c r="D64">
        <v>8</v>
      </c>
    </row>
    <row r="65" spans="1:4">
      <c r="A65">
        <v>6</v>
      </c>
      <c r="B65">
        <v>2</v>
      </c>
      <c r="C65">
        <v>2</v>
      </c>
      <c r="D65">
        <v>8</v>
      </c>
    </row>
    <row r="66" spans="1:4">
      <c r="A66">
        <v>6</v>
      </c>
      <c r="B66">
        <v>3</v>
      </c>
      <c r="C66">
        <v>1</v>
      </c>
      <c r="D66">
        <v>8</v>
      </c>
    </row>
    <row r="67" spans="1:4">
      <c r="A67">
        <v>6</v>
      </c>
      <c r="B67">
        <v>3</v>
      </c>
      <c r="C67">
        <v>2</v>
      </c>
      <c r="D67">
        <v>8</v>
      </c>
    </row>
    <row r="68" spans="1:4">
      <c r="A68">
        <v>6</v>
      </c>
      <c r="B68">
        <v>4</v>
      </c>
      <c r="C68">
        <v>1</v>
      </c>
      <c r="D68">
        <v>8</v>
      </c>
    </row>
    <row r="69" spans="1:4">
      <c r="A69">
        <v>6</v>
      </c>
      <c r="B69">
        <v>4</v>
      </c>
      <c r="C69">
        <v>2</v>
      </c>
      <c r="D69">
        <v>9</v>
      </c>
    </row>
    <row r="70" spans="1:4">
      <c r="A70">
        <v>6</v>
      </c>
      <c r="B70">
        <v>5</v>
      </c>
      <c r="C70">
        <v>1</v>
      </c>
      <c r="D70">
        <v>9</v>
      </c>
    </row>
    <row r="71" spans="1:4">
      <c r="A71">
        <v>6</v>
      </c>
      <c r="B71">
        <v>5</v>
      </c>
      <c r="C71">
        <v>2</v>
      </c>
      <c r="D71">
        <v>9</v>
      </c>
    </row>
    <row r="72" spans="1:4">
      <c r="A72">
        <v>6</v>
      </c>
      <c r="B72">
        <v>6</v>
      </c>
      <c r="C72">
        <v>1</v>
      </c>
      <c r="D72">
        <v>9</v>
      </c>
    </row>
    <row r="73" spans="1:4">
      <c r="A73">
        <v>6</v>
      </c>
      <c r="B73">
        <v>6</v>
      </c>
      <c r="C73">
        <v>2</v>
      </c>
      <c r="D73">
        <v>9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B705-2EB7-42B0-985A-7D3E1FA4AD0B}">
  <dimension ref="A1:M13"/>
  <sheetViews>
    <sheetView workbookViewId="0">
      <selection activeCell="A18" sqref="A18:M18"/>
    </sheetView>
  </sheetViews>
  <sheetFormatPr defaultRowHeight="16.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1</v>
      </c>
      <c r="B2">
        <v>1</v>
      </c>
      <c r="C2">
        <v>2</v>
      </c>
      <c r="D2">
        <v>3</v>
      </c>
      <c r="E2">
        <v>3</v>
      </c>
      <c r="F2">
        <v>4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</row>
    <row r="3" spans="1:13">
      <c r="A3">
        <v>2</v>
      </c>
      <c r="B3">
        <v>2</v>
      </c>
      <c r="C3">
        <v>2</v>
      </c>
      <c r="D3">
        <v>3</v>
      </c>
      <c r="E3">
        <v>4</v>
      </c>
      <c r="F3">
        <v>4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</row>
    <row r="4" spans="1:13">
      <c r="A4">
        <v>3</v>
      </c>
      <c r="B4">
        <v>3</v>
      </c>
      <c r="C4">
        <v>3</v>
      </c>
      <c r="D4">
        <v>3</v>
      </c>
      <c r="E4">
        <v>4</v>
      </c>
      <c r="F4">
        <v>4</v>
      </c>
      <c r="G4">
        <v>5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</row>
    <row r="5" spans="1:13">
      <c r="A5">
        <v>4</v>
      </c>
      <c r="B5">
        <v>3</v>
      </c>
      <c r="C5">
        <v>3</v>
      </c>
      <c r="D5">
        <v>3</v>
      </c>
      <c r="E5">
        <v>4</v>
      </c>
      <c r="F5">
        <v>5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</row>
    <row r="6" spans="1:13">
      <c r="A6">
        <v>5</v>
      </c>
      <c r="B6">
        <v>4</v>
      </c>
      <c r="C6">
        <v>4</v>
      </c>
      <c r="D6">
        <v>4</v>
      </c>
      <c r="E6">
        <v>5</v>
      </c>
      <c r="F6">
        <v>6</v>
      </c>
      <c r="G6">
        <v>7</v>
      </c>
      <c r="H6">
        <v>7</v>
      </c>
      <c r="I6">
        <v>7</v>
      </c>
      <c r="J6">
        <v>7</v>
      </c>
      <c r="K6">
        <v>7</v>
      </c>
      <c r="L6">
        <v>7</v>
      </c>
      <c r="M6">
        <v>7</v>
      </c>
    </row>
    <row r="7" spans="1:13">
      <c r="A7">
        <v>6</v>
      </c>
      <c r="B7">
        <v>4</v>
      </c>
      <c r="C7">
        <v>4</v>
      </c>
      <c r="D7">
        <v>5</v>
      </c>
      <c r="E7">
        <v>6</v>
      </c>
      <c r="F7">
        <v>6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</row>
    <row r="8" spans="1:13">
      <c r="A8">
        <v>7</v>
      </c>
      <c r="B8">
        <v>5</v>
      </c>
      <c r="C8">
        <v>5</v>
      </c>
      <c r="D8">
        <v>6</v>
      </c>
      <c r="E8">
        <v>6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</row>
    <row r="9" spans="1:13">
      <c r="A9">
        <v>8</v>
      </c>
      <c r="B9">
        <v>5</v>
      </c>
      <c r="C9">
        <v>5</v>
      </c>
      <c r="D9">
        <v>6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</row>
    <row r="10" spans="1:13">
      <c r="A10">
        <v>9</v>
      </c>
      <c r="B10">
        <v>5</v>
      </c>
      <c r="C10">
        <v>5</v>
      </c>
      <c r="D10">
        <v>6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</row>
    <row r="11" spans="1:13">
      <c r="A11">
        <v>10</v>
      </c>
      <c r="B11">
        <v>5</v>
      </c>
      <c r="C11">
        <v>5</v>
      </c>
      <c r="D11">
        <v>6</v>
      </c>
      <c r="E11">
        <v>7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  <c r="L11">
        <v>7</v>
      </c>
      <c r="M11">
        <v>7</v>
      </c>
    </row>
    <row r="12" spans="1:13">
      <c r="A12">
        <v>11</v>
      </c>
      <c r="B12">
        <v>5</v>
      </c>
      <c r="C12">
        <v>5</v>
      </c>
      <c r="D12">
        <v>6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</row>
    <row r="13" spans="1:13">
      <c r="A13">
        <v>12</v>
      </c>
      <c r="B13">
        <v>5</v>
      </c>
      <c r="C13">
        <v>5</v>
      </c>
      <c r="D13">
        <v>6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C398-190E-4B18-BB1D-F783B00FC9AF}">
  <dimension ref="A1:D61"/>
  <sheetViews>
    <sheetView workbookViewId="0">
      <selection activeCell="A18" sqref="A18:M18"/>
    </sheetView>
  </sheetViews>
  <sheetFormatPr defaultRowHeight="16.5"/>
  <sheetData>
    <row r="1" spans="1:4">
      <c r="A1" t="s">
        <v>208</v>
      </c>
      <c r="B1" t="s">
        <v>151</v>
      </c>
      <c r="C1" t="s">
        <v>188</v>
      </c>
      <c r="D1" t="s">
        <v>206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1</v>
      </c>
      <c r="B3">
        <v>2</v>
      </c>
      <c r="C3">
        <v>1</v>
      </c>
      <c r="D3">
        <v>1</v>
      </c>
    </row>
    <row r="4" spans="1:4">
      <c r="A4">
        <v>2</v>
      </c>
      <c r="B4">
        <v>1</v>
      </c>
      <c r="C4">
        <v>1</v>
      </c>
      <c r="D4">
        <v>2</v>
      </c>
    </row>
    <row r="5" spans="1:4">
      <c r="A5">
        <v>1</v>
      </c>
      <c r="B5">
        <v>1</v>
      </c>
      <c r="C5">
        <v>2</v>
      </c>
      <c r="D5">
        <v>2</v>
      </c>
    </row>
    <row r="6" spans="1:4">
      <c r="A6">
        <v>3</v>
      </c>
      <c r="B6">
        <v>1</v>
      </c>
      <c r="C6">
        <v>1</v>
      </c>
      <c r="D6">
        <v>2</v>
      </c>
    </row>
    <row r="7" spans="1:4">
      <c r="A7">
        <v>1</v>
      </c>
      <c r="B7">
        <v>2</v>
      </c>
      <c r="C7">
        <v>2</v>
      </c>
      <c r="D7">
        <v>2</v>
      </c>
    </row>
    <row r="8" spans="1:4">
      <c r="A8">
        <v>4</v>
      </c>
      <c r="B8">
        <v>1</v>
      </c>
      <c r="C8">
        <v>1</v>
      </c>
      <c r="D8">
        <v>3</v>
      </c>
    </row>
    <row r="9" spans="1:4">
      <c r="A9">
        <v>2</v>
      </c>
      <c r="B9">
        <v>1</v>
      </c>
      <c r="C9">
        <v>2</v>
      </c>
      <c r="D9">
        <v>3</v>
      </c>
    </row>
    <row r="10" spans="1:4">
      <c r="A10">
        <v>1</v>
      </c>
      <c r="B10">
        <v>1</v>
      </c>
      <c r="C10">
        <v>3</v>
      </c>
      <c r="D10">
        <v>3</v>
      </c>
    </row>
    <row r="11" spans="1:4">
      <c r="A11">
        <v>2</v>
      </c>
      <c r="B11">
        <v>2</v>
      </c>
      <c r="C11">
        <v>1</v>
      </c>
      <c r="D11">
        <v>3</v>
      </c>
    </row>
    <row r="12" spans="1:4">
      <c r="A12">
        <v>1</v>
      </c>
      <c r="B12">
        <v>2</v>
      </c>
      <c r="C12">
        <v>3</v>
      </c>
      <c r="D12">
        <v>3</v>
      </c>
    </row>
    <row r="13" spans="1:4">
      <c r="A13">
        <v>1</v>
      </c>
      <c r="B13">
        <v>3</v>
      </c>
      <c r="C13">
        <v>1</v>
      </c>
      <c r="D13">
        <v>3</v>
      </c>
    </row>
    <row r="14" spans="1:4">
      <c r="A14">
        <v>1</v>
      </c>
      <c r="B14">
        <v>3</v>
      </c>
      <c r="C14">
        <v>2</v>
      </c>
      <c r="D14">
        <v>3</v>
      </c>
    </row>
    <row r="15" spans="1:4">
      <c r="A15">
        <v>5</v>
      </c>
      <c r="B15">
        <v>1</v>
      </c>
      <c r="C15">
        <v>1</v>
      </c>
      <c r="D15">
        <v>4</v>
      </c>
    </row>
    <row r="16" spans="1:4">
      <c r="A16">
        <v>3</v>
      </c>
      <c r="B16">
        <v>1</v>
      </c>
      <c r="C16">
        <v>2</v>
      </c>
      <c r="D16">
        <v>4</v>
      </c>
    </row>
    <row r="17" spans="1:4">
      <c r="A17">
        <v>2</v>
      </c>
      <c r="B17">
        <v>1</v>
      </c>
      <c r="C17">
        <v>3</v>
      </c>
      <c r="D17">
        <v>4</v>
      </c>
    </row>
    <row r="18" spans="1:4">
      <c r="A18">
        <v>1</v>
      </c>
      <c r="B18">
        <v>1</v>
      </c>
      <c r="C18">
        <v>4</v>
      </c>
      <c r="D18">
        <v>4</v>
      </c>
    </row>
    <row r="19" spans="1:4">
      <c r="A19">
        <v>3</v>
      </c>
      <c r="B19">
        <v>2</v>
      </c>
      <c r="C19">
        <v>1</v>
      </c>
      <c r="D19">
        <v>4</v>
      </c>
    </row>
    <row r="20" spans="1:4">
      <c r="A20">
        <v>2</v>
      </c>
      <c r="B20">
        <v>2</v>
      </c>
      <c r="C20">
        <v>2</v>
      </c>
      <c r="D20">
        <v>4</v>
      </c>
    </row>
    <row r="21" spans="1:4">
      <c r="A21">
        <v>1</v>
      </c>
      <c r="B21">
        <v>2</v>
      </c>
      <c r="C21">
        <v>4</v>
      </c>
      <c r="D21">
        <v>4</v>
      </c>
    </row>
    <row r="22" spans="1:4">
      <c r="A22">
        <v>2</v>
      </c>
      <c r="B22">
        <v>3</v>
      </c>
      <c r="C22">
        <v>1</v>
      </c>
      <c r="D22">
        <v>4</v>
      </c>
    </row>
    <row r="23" spans="1:4">
      <c r="A23">
        <v>4</v>
      </c>
      <c r="B23">
        <v>1</v>
      </c>
      <c r="C23">
        <v>2</v>
      </c>
      <c r="D23">
        <v>5</v>
      </c>
    </row>
    <row r="24" spans="1:4">
      <c r="A24">
        <v>3</v>
      </c>
      <c r="B24">
        <v>1</v>
      </c>
      <c r="C24">
        <v>3</v>
      </c>
      <c r="D24">
        <v>5</v>
      </c>
    </row>
    <row r="25" spans="1:4">
      <c r="A25">
        <v>2</v>
      </c>
      <c r="B25">
        <v>1</v>
      </c>
      <c r="C25">
        <v>4</v>
      </c>
      <c r="D25">
        <v>5</v>
      </c>
    </row>
    <row r="26" spans="1:4">
      <c r="A26">
        <v>4</v>
      </c>
      <c r="B26">
        <v>2</v>
      </c>
      <c r="C26">
        <v>1</v>
      </c>
      <c r="D26">
        <v>5</v>
      </c>
    </row>
    <row r="27" spans="1:4">
      <c r="A27">
        <v>3</v>
      </c>
      <c r="B27">
        <v>2</v>
      </c>
      <c r="C27">
        <v>2</v>
      </c>
      <c r="D27">
        <v>5</v>
      </c>
    </row>
    <row r="28" spans="1:4">
      <c r="A28">
        <v>2</v>
      </c>
      <c r="B28">
        <v>2</v>
      </c>
      <c r="C28">
        <v>3</v>
      </c>
      <c r="D28">
        <v>5</v>
      </c>
    </row>
    <row r="29" spans="1:4">
      <c r="A29">
        <v>3</v>
      </c>
      <c r="B29">
        <v>3</v>
      </c>
      <c r="C29">
        <v>1</v>
      </c>
      <c r="D29">
        <v>5</v>
      </c>
    </row>
    <row r="30" spans="1:4">
      <c r="A30">
        <v>2</v>
      </c>
      <c r="B30">
        <v>3</v>
      </c>
      <c r="C30">
        <v>2</v>
      </c>
      <c r="D30">
        <v>5</v>
      </c>
    </row>
    <row r="31" spans="1:4">
      <c r="A31">
        <v>1</v>
      </c>
      <c r="B31">
        <v>3</v>
      </c>
      <c r="C31">
        <v>3</v>
      </c>
      <c r="D31">
        <v>5</v>
      </c>
    </row>
    <row r="32" spans="1:4">
      <c r="A32">
        <v>5</v>
      </c>
      <c r="B32">
        <v>1</v>
      </c>
      <c r="C32">
        <v>2</v>
      </c>
      <c r="D32">
        <v>6</v>
      </c>
    </row>
    <row r="33" spans="1:4">
      <c r="A33">
        <v>4</v>
      </c>
      <c r="B33">
        <v>1</v>
      </c>
      <c r="C33">
        <v>3</v>
      </c>
      <c r="D33">
        <v>6</v>
      </c>
    </row>
    <row r="34" spans="1:4">
      <c r="A34">
        <v>3</v>
      </c>
      <c r="B34">
        <v>1</v>
      </c>
      <c r="C34">
        <v>4</v>
      </c>
      <c r="D34">
        <v>6</v>
      </c>
    </row>
    <row r="35" spans="1:4">
      <c r="A35">
        <v>5</v>
      </c>
      <c r="B35">
        <v>2</v>
      </c>
      <c r="C35">
        <v>1</v>
      </c>
      <c r="D35">
        <v>6</v>
      </c>
    </row>
    <row r="36" spans="1:4">
      <c r="A36">
        <v>4</v>
      </c>
      <c r="B36">
        <v>2</v>
      </c>
      <c r="C36">
        <v>2</v>
      </c>
      <c r="D36">
        <v>6</v>
      </c>
    </row>
    <row r="37" spans="1:4">
      <c r="A37">
        <v>3</v>
      </c>
      <c r="B37">
        <v>2</v>
      </c>
      <c r="C37">
        <v>3</v>
      </c>
      <c r="D37">
        <v>6</v>
      </c>
    </row>
    <row r="38" spans="1:4">
      <c r="A38">
        <v>2</v>
      </c>
      <c r="B38">
        <v>2</v>
      </c>
      <c r="C38">
        <v>4</v>
      </c>
      <c r="D38">
        <v>6</v>
      </c>
    </row>
    <row r="39" spans="1:4">
      <c r="A39">
        <v>4</v>
      </c>
      <c r="B39">
        <v>3</v>
      </c>
      <c r="C39">
        <v>1</v>
      </c>
      <c r="D39">
        <v>6</v>
      </c>
    </row>
    <row r="40" spans="1:4">
      <c r="A40">
        <v>3</v>
      </c>
      <c r="B40">
        <v>3</v>
      </c>
      <c r="C40">
        <v>2</v>
      </c>
      <c r="D40">
        <v>6</v>
      </c>
    </row>
    <row r="41" spans="1:4">
      <c r="A41">
        <v>2</v>
      </c>
      <c r="B41">
        <v>3</v>
      </c>
      <c r="C41">
        <v>3</v>
      </c>
      <c r="D41">
        <v>6</v>
      </c>
    </row>
    <row r="42" spans="1:4">
      <c r="A42">
        <v>1</v>
      </c>
      <c r="B42">
        <v>3</v>
      </c>
      <c r="C42">
        <v>4</v>
      </c>
      <c r="D42">
        <v>6</v>
      </c>
    </row>
    <row r="43" spans="1:4">
      <c r="A43">
        <v>5</v>
      </c>
      <c r="B43">
        <v>1</v>
      </c>
      <c r="C43">
        <v>3</v>
      </c>
      <c r="D43">
        <v>7</v>
      </c>
    </row>
    <row r="44" spans="1:4">
      <c r="A44">
        <v>4</v>
      </c>
      <c r="B44">
        <v>1</v>
      </c>
      <c r="C44">
        <v>4</v>
      </c>
      <c r="D44">
        <v>7</v>
      </c>
    </row>
    <row r="45" spans="1:4">
      <c r="A45">
        <v>5</v>
      </c>
      <c r="B45">
        <v>2</v>
      </c>
      <c r="C45">
        <v>2</v>
      </c>
      <c r="D45">
        <v>7</v>
      </c>
    </row>
    <row r="46" spans="1:4">
      <c r="A46">
        <v>4</v>
      </c>
      <c r="B46">
        <v>2</v>
      </c>
      <c r="C46">
        <v>3</v>
      </c>
      <c r="D46">
        <v>7</v>
      </c>
    </row>
    <row r="47" spans="1:4">
      <c r="A47">
        <v>3</v>
      </c>
      <c r="B47">
        <v>2</v>
      </c>
      <c r="C47">
        <v>4</v>
      </c>
      <c r="D47">
        <v>7</v>
      </c>
    </row>
    <row r="48" spans="1:4">
      <c r="A48">
        <v>5</v>
      </c>
      <c r="B48">
        <v>3</v>
      </c>
      <c r="C48">
        <v>1</v>
      </c>
      <c r="D48">
        <v>7</v>
      </c>
    </row>
    <row r="49" spans="1:4">
      <c r="A49">
        <v>4</v>
      </c>
      <c r="B49">
        <v>3</v>
      </c>
      <c r="C49">
        <v>2</v>
      </c>
      <c r="D49">
        <v>7</v>
      </c>
    </row>
    <row r="50" spans="1:4">
      <c r="A50">
        <v>3</v>
      </c>
      <c r="B50">
        <v>3</v>
      </c>
      <c r="C50">
        <v>3</v>
      </c>
      <c r="D50">
        <v>7</v>
      </c>
    </row>
    <row r="51" spans="1:4">
      <c r="A51">
        <v>2</v>
      </c>
      <c r="B51">
        <v>3</v>
      </c>
      <c r="C51">
        <v>4</v>
      </c>
      <c r="D51">
        <v>7</v>
      </c>
    </row>
    <row r="52" spans="1:4">
      <c r="A52">
        <v>5</v>
      </c>
      <c r="B52">
        <v>1</v>
      </c>
      <c r="C52">
        <v>4</v>
      </c>
      <c r="D52">
        <v>8</v>
      </c>
    </row>
    <row r="53" spans="1:4">
      <c r="A53">
        <v>5</v>
      </c>
      <c r="B53">
        <v>2</v>
      </c>
      <c r="C53">
        <v>3</v>
      </c>
      <c r="D53">
        <v>8</v>
      </c>
    </row>
    <row r="54" spans="1:4">
      <c r="A54">
        <v>4</v>
      </c>
      <c r="B54">
        <v>2</v>
      </c>
      <c r="C54">
        <v>4</v>
      </c>
      <c r="D54">
        <v>8</v>
      </c>
    </row>
    <row r="55" spans="1:4">
      <c r="A55">
        <v>5</v>
      </c>
      <c r="B55">
        <v>3</v>
      </c>
      <c r="C55">
        <v>2</v>
      </c>
      <c r="D55">
        <v>8</v>
      </c>
    </row>
    <row r="56" spans="1:4">
      <c r="A56">
        <v>4</v>
      </c>
      <c r="B56">
        <v>3</v>
      </c>
      <c r="C56">
        <v>3</v>
      </c>
      <c r="D56">
        <v>8</v>
      </c>
    </row>
    <row r="57" spans="1:4">
      <c r="A57">
        <v>3</v>
      </c>
      <c r="B57">
        <v>3</v>
      </c>
      <c r="C57">
        <v>4</v>
      </c>
      <c r="D57">
        <v>8</v>
      </c>
    </row>
    <row r="58" spans="1:4">
      <c r="A58">
        <v>5</v>
      </c>
      <c r="B58">
        <v>2</v>
      </c>
      <c r="C58">
        <v>4</v>
      </c>
      <c r="D58">
        <v>9</v>
      </c>
    </row>
    <row r="59" spans="1:4">
      <c r="A59">
        <v>5</v>
      </c>
      <c r="B59">
        <v>3</v>
      </c>
      <c r="C59">
        <v>3</v>
      </c>
      <c r="D59">
        <v>9</v>
      </c>
    </row>
    <row r="60" spans="1:4">
      <c r="A60">
        <v>4</v>
      </c>
      <c r="B60">
        <v>3</v>
      </c>
      <c r="C60">
        <v>4</v>
      </c>
      <c r="D60">
        <v>9</v>
      </c>
    </row>
    <row r="61" spans="1:4">
      <c r="A61">
        <v>5</v>
      </c>
      <c r="B61">
        <v>3</v>
      </c>
      <c r="C61">
        <v>4</v>
      </c>
      <c r="D61">
        <v>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BBF0-D18D-4E84-AA1A-359EB9FE73BD}">
  <dimension ref="A1:D37"/>
  <sheetViews>
    <sheetView workbookViewId="0">
      <selection activeCell="A18" sqref="A18:M18"/>
    </sheetView>
  </sheetViews>
  <sheetFormatPr defaultRowHeight="16.5"/>
  <sheetData>
    <row r="1" spans="1:4">
      <c r="A1" t="s">
        <v>210</v>
      </c>
      <c r="B1" t="s">
        <v>211</v>
      </c>
      <c r="C1" t="s">
        <v>183</v>
      </c>
      <c r="D1" t="s">
        <v>207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1</v>
      </c>
      <c r="C3">
        <v>1</v>
      </c>
      <c r="D3">
        <v>1</v>
      </c>
    </row>
    <row r="4" spans="1:4">
      <c r="A4">
        <v>1</v>
      </c>
      <c r="B4">
        <v>2</v>
      </c>
      <c r="C4">
        <v>1</v>
      </c>
      <c r="D4">
        <v>1</v>
      </c>
    </row>
    <row r="5" spans="1:4">
      <c r="A5">
        <v>1</v>
      </c>
      <c r="B5">
        <v>1</v>
      </c>
      <c r="C5">
        <v>2</v>
      </c>
      <c r="D5">
        <v>2</v>
      </c>
    </row>
    <row r="6" spans="1:4">
      <c r="A6">
        <v>2</v>
      </c>
      <c r="B6">
        <v>1</v>
      </c>
      <c r="C6">
        <v>2</v>
      </c>
      <c r="D6">
        <v>2</v>
      </c>
    </row>
    <row r="7" spans="1:4">
      <c r="A7">
        <v>1</v>
      </c>
      <c r="B7">
        <v>1</v>
      </c>
      <c r="C7">
        <v>3</v>
      </c>
      <c r="D7">
        <v>2</v>
      </c>
    </row>
    <row r="8" spans="1:4">
      <c r="A8">
        <v>2</v>
      </c>
      <c r="B8">
        <v>2</v>
      </c>
      <c r="C8">
        <v>1</v>
      </c>
      <c r="D8">
        <v>2</v>
      </c>
    </row>
    <row r="9" spans="1:4">
      <c r="A9">
        <v>1</v>
      </c>
      <c r="B9">
        <v>2</v>
      </c>
      <c r="C9">
        <v>2</v>
      </c>
      <c r="D9">
        <v>2</v>
      </c>
    </row>
    <row r="10" spans="1:4">
      <c r="A10">
        <v>3</v>
      </c>
      <c r="B10">
        <v>1</v>
      </c>
      <c r="C10">
        <v>1</v>
      </c>
      <c r="D10">
        <v>3</v>
      </c>
    </row>
    <row r="11" spans="1:4">
      <c r="A11">
        <v>2</v>
      </c>
      <c r="B11">
        <v>1</v>
      </c>
      <c r="C11">
        <v>3</v>
      </c>
      <c r="D11">
        <v>3</v>
      </c>
    </row>
    <row r="12" spans="1:4">
      <c r="A12">
        <v>2</v>
      </c>
      <c r="B12">
        <v>2</v>
      </c>
      <c r="C12">
        <v>2</v>
      </c>
      <c r="D12">
        <v>3</v>
      </c>
    </row>
    <row r="13" spans="1:4">
      <c r="A13">
        <v>1</v>
      </c>
      <c r="B13">
        <v>2</v>
      </c>
      <c r="C13">
        <v>3</v>
      </c>
      <c r="D13">
        <v>3</v>
      </c>
    </row>
    <row r="14" spans="1:4">
      <c r="A14">
        <v>4</v>
      </c>
      <c r="B14">
        <v>1</v>
      </c>
      <c r="C14">
        <v>1</v>
      </c>
      <c r="D14">
        <v>4</v>
      </c>
    </row>
    <row r="15" spans="1:4">
      <c r="A15">
        <v>3</v>
      </c>
      <c r="B15">
        <v>1</v>
      </c>
      <c r="C15">
        <v>2</v>
      </c>
      <c r="D15">
        <v>4</v>
      </c>
    </row>
    <row r="16" spans="1:4">
      <c r="A16">
        <v>3</v>
      </c>
      <c r="B16">
        <v>2</v>
      </c>
      <c r="C16">
        <v>1</v>
      </c>
      <c r="D16">
        <v>4</v>
      </c>
    </row>
    <row r="17" spans="1:4">
      <c r="A17">
        <v>2</v>
      </c>
      <c r="B17">
        <v>2</v>
      </c>
      <c r="C17">
        <v>3</v>
      </c>
      <c r="D17">
        <v>4</v>
      </c>
    </row>
    <row r="18" spans="1:4">
      <c r="A18">
        <v>4</v>
      </c>
      <c r="B18">
        <v>1</v>
      </c>
      <c r="C18">
        <v>2</v>
      </c>
      <c r="D18">
        <v>5</v>
      </c>
    </row>
    <row r="19" spans="1:4">
      <c r="A19">
        <v>3</v>
      </c>
      <c r="B19">
        <v>1</v>
      </c>
      <c r="C19">
        <v>3</v>
      </c>
      <c r="D19">
        <v>5</v>
      </c>
    </row>
    <row r="20" spans="1:4">
      <c r="A20">
        <v>4</v>
      </c>
      <c r="B20">
        <v>2</v>
      </c>
      <c r="C20">
        <v>1</v>
      </c>
      <c r="D20">
        <v>5</v>
      </c>
    </row>
    <row r="21" spans="1:4">
      <c r="A21">
        <v>3</v>
      </c>
      <c r="B21">
        <v>2</v>
      </c>
      <c r="C21">
        <v>2</v>
      </c>
      <c r="D21">
        <v>5</v>
      </c>
    </row>
    <row r="22" spans="1:4">
      <c r="A22">
        <v>3</v>
      </c>
      <c r="B22">
        <v>2</v>
      </c>
      <c r="C22">
        <v>3</v>
      </c>
      <c r="D22">
        <v>5</v>
      </c>
    </row>
    <row r="23" spans="1:4">
      <c r="A23">
        <v>5</v>
      </c>
      <c r="B23">
        <v>1</v>
      </c>
      <c r="C23">
        <v>1</v>
      </c>
      <c r="D23">
        <v>6</v>
      </c>
    </row>
    <row r="24" spans="1:4">
      <c r="A24">
        <v>4</v>
      </c>
      <c r="B24">
        <v>1</v>
      </c>
      <c r="C24">
        <v>3</v>
      </c>
      <c r="D24">
        <v>6</v>
      </c>
    </row>
    <row r="25" spans="1:4">
      <c r="A25">
        <v>4</v>
      </c>
      <c r="B25">
        <v>2</v>
      </c>
      <c r="C25">
        <v>2</v>
      </c>
      <c r="D25">
        <v>6</v>
      </c>
    </row>
    <row r="26" spans="1:4">
      <c r="A26">
        <v>6</v>
      </c>
      <c r="B26">
        <v>1</v>
      </c>
      <c r="C26">
        <v>1</v>
      </c>
      <c r="D26">
        <v>7</v>
      </c>
    </row>
    <row r="27" spans="1:4">
      <c r="A27">
        <v>5</v>
      </c>
      <c r="B27">
        <v>1</v>
      </c>
      <c r="C27">
        <v>2</v>
      </c>
      <c r="D27">
        <v>7</v>
      </c>
    </row>
    <row r="28" spans="1:4">
      <c r="A28">
        <v>5</v>
      </c>
      <c r="B28">
        <v>2</v>
      </c>
      <c r="C28">
        <v>1</v>
      </c>
      <c r="D28">
        <v>7</v>
      </c>
    </row>
    <row r="29" spans="1:4">
      <c r="A29">
        <v>4</v>
      </c>
      <c r="B29">
        <v>2</v>
      </c>
      <c r="C29">
        <v>3</v>
      </c>
      <c r="D29">
        <v>7</v>
      </c>
    </row>
    <row r="30" spans="1:4">
      <c r="A30">
        <v>6</v>
      </c>
      <c r="B30">
        <v>1</v>
      </c>
      <c r="C30">
        <v>2</v>
      </c>
      <c r="D30">
        <v>8</v>
      </c>
    </row>
    <row r="31" spans="1:4">
      <c r="A31">
        <v>5</v>
      </c>
      <c r="B31">
        <v>1</v>
      </c>
      <c r="C31">
        <v>3</v>
      </c>
      <c r="D31">
        <v>8</v>
      </c>
    </row>
    <row r="32" spans="1:4">
      <c r="A32">
        <v>6</v>
      </c>
      <c r="B32">
        <v>1</v>
      </c>
      <c r="C32">
        <v>3</v>
      </c>
      <c r="D32">
        <v>8</v>
      </c>
    </row>
    <row r="33" spans="1:4">
      <c r="A33">
        <v>6</v>
      </c>
      <c r="B33">
        <v>2</v>
      </c>
      <c r="C33">
        <v>1</v>
      </c>
      <c r="D33">
        <v>8</v>
      </c>
    </row>
    <row r="34" spans="1:4">
      <c r="A34">
        <v>5</v>
      </c>
      <c r="B34">
        <v>2</v>
      </c>
      <c r="C34">
        <v>2</v>
      </c>
      <c r="D34">
        <v>8</v>
      </c>
    </row>
    <row r="35" spans="1:4">
      <c r="A35">
        <v>5</v>
      </c>
      <c r="B35">
        <v>2</v>
      </c>
      <c r="C35">
        <v>3</v>
      </c>
      <c r="D35">
        <v>8</v>
      </c>
    </row>
    <row r="36" spans="1:4">
      <c r="A36">
        <v>6</v>
      </c>
      <c r="B36">
        <v>2</v>
      </c>
      <c r="C36">
        <v>2</v>
      </c>
      <c r="D36">
        <v>9</v>
      </c>
    </row>
    <row r="37" spans="1:4">
      <c r="A37">
        <v>6</v>
      </c>
      <c r="B37">
        <v>2</v>
      </c>
      <c r="C37">
        <v>3</v>
      </c>
      <c r="D37">
        <v>9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CE02-5F31-4252-B8AF-88CC98774B33}">
  <dimension ref="A1:M13"/>
  <sheetViews>
    <sheetView workbookViewId="0">
      <selection activeCell="A18" sqref="A18:M18"/>
    </sheetView>
  </sheetViews>
  <sheetFormatPr defaultRowHeight="16.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2</v>
      </c>
      <c r="F2">
        <v>3</v>
      </c>
      <c r="G2">
        <v>3</v>
      </c>
      <c r="H2">
        <v>4</v>
      </c>
      <c r="I2">
        <v>5</v>
      </c>
      <c r="J2">
        <v>6</v>
      </c>
      <c r="K2">
        <v>7</v>
      </c>
      <c r="L2">
        <v>7</v>
      </c>
      <c r="M2">
        <v>7</v>
      </c>
    </row>
    <row r="3" spans="1:13">
      <c r="A3">
        <v>2</v>
      </c>
      <c r="B3">
        <v>1</v>
      </c>
      <c r="C3">
        <v>2</v>
      </c>
      <c r="D3">
        <v>2</v>
      </c>
      <c r="E3">
        <v>3</v>
      </c>
      <c r="F3">
        <v>4</v>
      </c>
      <c r="G3">
        <v>4</v>
      </c>
      <c r="H3">
        <v>5</v>
      </c>
      <c r="I3">
        <v>6</v>
      </c>
      <c r="J3">
        <v>6</v>
      </c>
      <c r="K3">
        <v>7</v>
      </c>
      <c r="L3">
        <v>7</v>
      </c>
      <c r="M3">
        <v>8</v>
      </c>
    </row>
    <row r="4" spans="1:13">
      <c r="A4">
        <v>3</v>
      </c>
      <c r="B4">
        <v>2</v>
      </c>
      <c r="C4">
        <v>3</v>
      </c>
      <c r="D4">
        <v>3</v>
      </c>
      <c r="E4">
        <v>3</v>
      </c>
      <c r="F4">
        <v>4</v>
      </c>
      <c r="G4">
        <v>5</v>
      </c>
      <c r="H4">
        <v>6</v>
      </c>
      <c r="I4">
        <v>7</v>
      </c>
      <c r="J4">
        <v>7</v>
      </c>
      <c r="K4">
        <v>8</v>
      </c>
      <c r="L4">
        <v>8</v>
      </c>
      <c r="M4">
        <v>8</v>
      </c>
    </row>
    <row r="5" spans="1:13">
      <c r="A5">
        <v>4</v>
      </c>
      <c r="B5">
        <v>3</v>
      </c>
      <c r="C5">
        <v>4</v>
      </c>
      <c r="D5">
        <v>4</v>
      </c>
      <c r="E5">
        <v>4</v>
      </c>
      <c r="F5">
        <v>5</v>
      </c>
      <c r="G5">
        <v>6</v>
      </c>
      <c r="H5">
        <v>7</v>
      </c>
      <c r="I5">
        <v>8</v>
      </c>
      <c r="J5">
        <v>8</v>
      </c>
      <c r="K5">
        <v>9</v>
      </c>
      <c r="L5">
        <v>9</v>
      </c>
      <c r="M5">
        <v>9</v>
      </c>
    </row>
    <row r="6" spans="1:13">
      <c r="A6">
        <v>5</v>
      </c>
      <c r="B6">
        <v>4</v>
      </c>
      <c r="C6">
        <v>4</v>
      </c>
      <c r="D6">
        <v>4</v>
      </c>
      <c r="E6">
        <v>5</v>
      </c>
      <c r="F6">
        <v>6</v>
      </c>
      <c r="G6">
        <v>7</v>
      </c>
      <c r="H6">
        <v>8</v>
      </c>
      <c r="I6">
        <v>8</v>
      </c>
      <c r="J6">
        <v>9</v>
      </c>
      <c r="K6">
        <v>9</v>
      </c>
      <c r="L6">
        <v>9</v>
      </c>
      <c r="M6">
        <v>9</v>
      </c>
    </row>
    <row r="7" spans="1:13">
      <c r="A7">
        <v>6</v>
      </c>
      <c r="B7">
        <v>6</v>
      </c>
      <c r="C7">
        <v>6</v>
      </c>
      <c r="D7">
        <v>6</v>
      </c>
      <c r="E7">
        <v>7</v>
      </c>
      <c r="F7">
        <v>8</v>
      </c>
      <c r="G7">
        <v>8</v>
      </c>
      <c r="H7">
        <v>9</v>
      </c>
      <c r="I7">
        <v>9</v>
      </c>
      <c r="J7">
        <v>10</v>
      </c>
      <c r="K7">
        <v>10</v>
      </c>
      <c r="L7">
        <v>10</v>
      </c>
      <c r="M7">
        <v>10</v>
      </c>
    </row>
    <row r="8" spans="1:13">
      <c r="A8">
        <v>7</v>
      </c>
      <c r="B8">
        <v>7</v>
      </c>
      <c r="C8">
        <v>7</v>
      </c>
      <c r="D8">
        <v>7</v>
      </c>
      <c r="E8">
        <v>8</v>
      </c>
      <c r="F8">
        <v>9</v>
      </c>
      <c r="G8">
        <v>9</v>
      </c>
      <c r="H8">
        <v>9</v>
      </c>
      <c r="I8">
        <v>10</v>
      </c>
      <c r="J8">
        <v>10</v>
      </c>
      <c r="K8">
        <v>11</v>
      </c>
      <c r="L8">
        <v>11</v>
      </c>
      <c r="M8">
        <v>11</v>
      </c>
    </row>
    <row r="9" spans="1:13">
      <c r="A9">
        <v>8</v>
      </c>
      <c r="B9">
        <v>8</v>
      </c>
      <c r="C9">
        <v>8</v>
      </c>
      <c r="D9">
        <v>8</v>
      </c>
      <c r="E9">
        <v>9</v>
      </c>
      <c r="F9">
        <v>10</v>
      </c>
      <c r="G9">
        <v>10</v>
      </c>
      <c r="H9">
        <v>10</v>
      </c>
      <c r="I9">
        <v>10</v>
      </c>
      <c r="J9">
        <v>10</v>
      </c>
      <c r="K9">
        <v>11</v>
      </c>
      <c r="L9">
        <v>11</v>
      </c>
      <c r="M9">
        <v>11</v>
      </c>
    </row>
    <row r="10" spans="1:13">
      <c r="A10">
        <v>9</v>
      </c>
      <c r="B10">
        <v>9</v>
      </c>
      <c r="C10">
        <v>9</v>
      </c>
      <c r="D10">
        <v>9</v>
      </c>
      <c r="E10">
        <v>10</v>
      </c>
      <c r="F10">
        <v>10</v>
      </c>
      <c r="G10">
        <v>10</v>
      </c>
      <c r="H10">
        <v>11</v>
      </c>
      <c r="I10">
        <v>11</v>
      </c>
      <c r="J10">
        <v>11</v>
      </c>
      <c r="K10">
        <v>12</v>
      </c>
      <c r="L10">
        <v>12</v>
      </c>
      <c r="M10">
        <v>12</v>
      </c>
    </row>
    <row r="11" spans="1:13">
      <c r="A11">
        <v>10</v>
      </c>
      <c r="B11">
        <v>10</v>
      </c>
      <c r="C11">
        <v>10</v>
      </c>
      <c r="D11">
        <v>10</v>
      </c>
      <c r="E11">
        <v>11</v>
      </c>
      <c r="F11">
        <v>11</v>
      </c>
      <c r="G11">
        <v>11</v>
      </c>
      <c r="H11">
        <v>11</v>
      </c>
      <c r="I11">
        <v>12</v>
      </c>
      <c r="J11">
        <v>12</v>
      </c>
      <c r="K11">
        <v>12</v>
      </c>
      <c r="L11">
        <v>12</v>
      </c>
      <c r="M11">
        <v>12</v>
      </c>
    </row>
    <row r="12" spans="1:13">
      <c r="A12">
        <v>11</v>
      </c>
      <c r="B12">
        <v>11</v>
      </c>
      <c r="C12">
        <v>11</v>
      </c>
      <c r="D12">
        <v>11</v>
      </c>
      <c r="E12">
        <v>11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</row>
    <row r="13" spans="1:13">
      <c r="A13">
        <v>12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6</vt:i4>
      </vt:variant>
    </vt:vector>
  </HeadingPairs>
  <TitlesOfParts>
    <vt:vector size="18" baseType="lpstr">
      <vt:lpstr>문서번호1</vt:lpstr>
      <vt:lpstr>문서번호2(1)</vt:lpstr>
      <vt:lpstr>문서번호3(1)</vt:lpstr>
      <vt:lpstr>문서번호2(2)</vt:lpstr>
      <vt:lpstr>문서번호3(2)</vt:lpstr>
      <vt:lpstr>문서번호3</vt:lpstr>
      <vt:lpstr>RULA_A</vt:lpstr>
      <vt:lpstr>RULA_B</vt:lpstr>
      <vt:lpstr>C+D</vt:lpstr>
      <vt:lpstr>REBA_A</vt:lpstr>
      <vt:lpstr>REBA_B</vt:lpstr>
      <vt:lpstr>A+B</vt:lpstr>
      <vt:lpstr>문서번호1!Print_Area</vt:lpstr>
      <vt:lpstr>'문서번호2(1)'!Print_Area</vt:lpstr>
      <vt:lpstr>'문서번호2(2)'!Print_Area</vt:lpstr>
      <vt:lpstr>문서번호3!Print_Area</vt:lpstr>
      <vt:lpstr>'문서번호3(1)'!Print_Area</vt:lpstr>
      <vt:lpstr>'문서번호3(2)'!Print_Area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최강은</dc:creator>
  <cp:lastModifiedBy>진일 최</cp:lastModifiedBy>
  <cp:lastPrinted>2023-05-11T07:27:57Z</cp:lastPrinted>
  <dcterms:created xsi:type="dcterms:W3CDTF">2023-03-17T09:37:29Z</dcterms:created>
  <dcterms:modified xsi:type="dcterms:W3CDTF">2026-02-09T05:45:18Z</dcterms:modified>
</cp:coreProperties>
</file>